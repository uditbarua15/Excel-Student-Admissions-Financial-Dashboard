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localhost:9843/Shared/"/>
    </mc:Choice>
  </mc:AlternateContent>
  <xr:revisionPtr revIDLastSave="0" documentId="13_ncr:40000001_{CA79ED0D-FE44-4E4A-9C5E-5F7311E40B8B}" xr6:coauthVersionLast="47" xr6:coauthVersionMax="47" xr10:uidLastSave="{00000000-0000-0000-0000-000000000000}"/>
  <bookViews>
    <workbookView xWindow="-98" yWindow="-98" windowWidth="22245" windowHeight="14041" xr2:uid="{00000000-000D-0000-FFFF-FFFF00000000}"/>
  </bookViews>
  <sheets>
    <sheet name="Dashboard" sheetId="6" r:id="rId1"/>
    <sheet name="Data" sheetId="1" r:id="rId2"/>
    <sheet name="Pivot Analysis" sheetId="2" r:id="rId3"/>
  </sheets>
  <definedNames>
    <definedName name="_xlnm._FilterDatabase" localSheetId="1" hidden="1">Data!$A$1:$M$926</definedName>
    <definedName name="Slicer_Course">#N/A</definedName>
    <definedName name="Slicer_Gender">#N/A</definedName>
    <definedName name="Slicer_Month">#N/A</definedName>
    <definedName name="Slicer_State">#N/A</definedName>
    <definedName name="Slicer_Status">#N/A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K11" i="1"/>
  <c r="L11" i="1" s="1"/>
  <c r="K50" i="1"/>
  <c r="L50" i="1" s="1"/>
  <c r="K51" i="1"/>
  <c r="L51" i="1" s="1"/>
  <c r="K113" i="1"/>
  <c r="L113" i="1" s="1"/>
  <c r="K667" i="1"/>
  <c r="L667" i="1" s="1"/>
  <c r="K670" i="1"/>
  <c r="L670" i="1" s="1"/>
  <c r="K704" i="1"/>
  <c r="L704" i="1" s="1"/>
  <c r="K282" i="1"/>
  <c r="L282" i="1" s="1"/>
  <c r="K283" i="1"/>
  <c r="L283" i="1" s="1"/>
  <c r="K293" i="1"/>
  <c r="L293" i="1" s="1"/>
  <c r="K60" i="1"/>
  <c r="L60" i="1" s="1"/>
  <c r="K61" i="1"/>
  <c r="L61" i="1" s="1"/>
  <c r="K71" i="1"/>
  <c r="L71" i="1" s="1"/>
  <c r="K80" i="1"/>
  <c r="L80" i="1" s="1"/>
  <c r="K640" i="1"/>
  <c r="L640" i="1" s="1"/>
  <c r="K654" i="1"/>
  <c r="L654" i="1" s="1"/>
  <c r="K192" i="1"/>
  <c r="L192" i="1" s="1"/>
  <c r="K193" i="1"/>
  <c r="L193" i="1" s="1"/>
  <c r="K318" i="1"/>
  <c r="L318" i="1" s="1"/>
  <c r="K328" i="1"/>
  <c r="L328" i="1" s="1"/>
  <c r="K329" i="1"/>
  <c r="L329" i="1" s="1"/>
  <c r="K339" i="1"/>
  <c r="L339" i="1" s="1"/>
  <c r="K358" i="1"/>
  <c r="L358" i="1" s="1"/>
  <c r="K359" i="1"/>
  <c r="L359" i="1" s="1"/>
  <c r="K369" i="1"/>
  <c r="L369" i="1" s="1"/>
  <c r="K378" i="1"/>
  <c r="L378" i="1" s="1"/>
  <c r="K379" i="1"/>
  <c r="L379" i="1" s="1"/>
  <c r="K389" i="1"/>
  <c r="L389" i="1" s="1"/>
  <c r="K408" i="1"/>
  <c r="L408" i="1" s="1"/>
  <c r="K409" i="1"/>
  <c r="L409" i="1" s="1"/>
  <c r="K419" i="1"/>
  <c r="L419" i="1" s="1"/>
  <c r="K428" i="1"/>
  <c r="L428" i="1" s="1"/>
  <c r="K429" i="1"/>
  <c r="L429" i="1" s="1"/>
  <c r="K439" i="1"/>
  <c r="L439" i="1" s="1"/>
  <c r="K459" i="1"/>
  <c r="L459" i="1" s="1"/>
  <c r="K469" i="1"/>
  <c r="L469" i="1" s="1"/>
  <c r="K479" i="1"/>
  <c r="L479" i="1" s="1"/>
  <c r="K489" i="1"/>
  <c r="L489" i="1" s="1"/>
  <c r="K509" i="1"/>
  <c r="L509" i="1" s="1"/>
  <c r="K519" i="1"/>
  <c r="L519" i="1" s="1"/>
  <c r="K529" i="1"/>
  <c r="L529" i="1" s="1"/>
  <c r="K569" i="1"/>
  <c r="L569" i="1" s="1"/>
  <c r="K579" i="1"/>
  <c r="L579" i="1" s="1"/>
  <c r="K619" i="1"/>
  <c r="L619" i="1" s="1"/>
  <c r="K711" i="1"/>
  <c r="L711" i="1" s="1"/>
  <c r="K787" i="1"/>
  <c r="L787" i="1" s="1"/>
  <c r="K804" i="1"/>
  <c r="L804" i="1" s="1"/>
  <c r="K9" i="1"/>
  <c r="L9" i="1" s="1"/>
  <c r="K10" i="1"/>
  <c r="L10" i="1" s="1"/>
  <c r="K12" i="1"/>
  <c r="L12" i="1" s="1"/>
  <c r="K49" i="1"/>
  <c r="L49" i="1" s="1"/>
  <c r="K52" i="1"/>
  <c r="L52" i="1" s="1"/>
  <c r="K59" i="1"/>
  <c r="L59" i="1" s="1"/>
  <c r="K110" i="1"/>
  <c r="L110" i="1" s="1"/>
  <c r="K114" i="1"/>
  <c r="L114" i="1" s="1"/>
  <c r="K121" i="1"/>
  <c r="L121" i="1" s="1"/>
  <c r="K122" i="1"/>
  <c r="L122" i="1" s="1"/>
  <c r="K123" i="1"/>
  <c r="L123" i="1" s="1"/>
  <c r="K124" i="1"/>
  <c r="L124" i="1" s="1"/>
  <c r="K661" i="1"/>
  <c r="L661" i="1" s="1"/>
  <c r="K673" i="1"/>
  <c r="L673" i="1" s="1"/>
  <c r="K697" i="1"/>
  <c r="L697" i="1" s="1"/>
  <c r="K703" i="1"/>
  <c r="L703" i="1" s="1"/>
  <c r="K729" i="1"/>
  <c r="L729" i="1" s="1"/>
  <c r="K279" i="1"/>
  <c r="L279" i="1" s="1"/>
  <c r="K284" i="1"/>
  <c r="L284" i="1" s="1"/>
  <c r="K291" i="1"/>
  <c r="L291" i="1" s="1"/>
  <c r="K292" i="1"/>
  <c r="L292" i="1" s="1"/>
  <c r="K44" i="1"/>
  <c r="L44" i="1" s="1"/>
  <c r="K202" i="1"/>
  <c r="L202" i="1" s="1"/>
  <c r="K218" i="1"/>
  <c r="L218" i="1" s="1"/>
  <c r="K219" i="1"/>
  <c r="L219" i="1" s="1"/>
  <c r="K327" i="1"/>
  <c r="L327" i="1" s="1"/>
  <c r="K698" i="1"/>
  <c r="L698" i="1" s="1"/>
  <c r="K62" i="1"/>
  <c r="L62" i="1" s="1"/>
  <c r="K69" i="1"/>
  <c r="L69" i="1" s="1"/>
  <c r="K70" i="1"/>
  <c r="L70" i="1" s="1"/>
  <c r="K72" i="1"/>
  <c r="L72" i="1" s="1"/>
  <c r="K79" i="1"/>
  <c r="L79" i="1" s="1"/>
  <c r="K641" i="1"/>
  <c r="L641" i="1" s="1"/>
  <c r="K650" i="1"/>
  <c r="L650" i="1" s="1"/>
  <c r="K651" i="1"/>
  <c r="L651" i="1" s="1"/>
  <c r="K655" i="1"/>
  <c r="L655" i="1" s="1"/>
  <c r="K676" i="1"/>
  <c r="L676" i="1" s="1"/>
  <c r="K688" i="1"/>
  <c r="L688" i="1" s="1"/>
  <c r="K693" i="1"/>
  <c r="L693" i="1" s="1"/>
  <c r="K29" i="1"/>
  <c r="L29" i="1" s="1"/>
  <c r="K191" i="1"/>
  <c r="L191" i="1" s="1"/>
  <c r="K194" i="1"/>
  <c r="L194" i="1" s="1"/>
  <c r="K316" i="1"/>
  <c r="L316" i="1" s="1"/>
  <c r="K317" i="1"/>
  <c r="L317" i="1" s="1"/>
  <c r="K319" i="1"/>
  <c r="L319" i="1" s="1"/>
  <c r="K326" i="1"/>
  <c r="L326" i="1" s="1"/>
  <c r="K712" i="1"/>
  <c r="L712" i="1" s="1"/>
  <c r="K336" i="1"/>
  <c r="L336" i="1" s="1"/>
  <c r="K337" i="1"/>
  <c r="L337" i="1" s="1"/>
  <c r="K340" i="1"/>
  <c r="L340" i="1" s="1"/>
  <c r="K347" i="1"/>
  <c r="L347" i="1" s="1"/>
  <c r="K348" i="1"/>
  <c r="L348" i="1" s="1"/>
  <c r="K349" i="1"/>
  <c r="L349" i="1" s="1"/>
  <c r="K350" i="1"/>
  <c r="L350" i="1" s="1"/>
  <c r="K357" i="1"/>
  <c r="L357" i="1" s="1"/>
  <c r="K360" i="1"/>
  <c r="L360" i="1" s="1"/>
  <c r="K367" i="1"/>
  <c r="L367" i="1" s="1"/>
  <c r="K368" i="1"/>
  <c r="L368" i="1" s="1"/>
  <c r="K370" i="1"/>
  <c r="L370" i="1" s="1"/>
  <c r="K377" i="1"/>
  <c r="L377" i="1" s="1"/>
  <c r="K380" i="1"/>
  <c r="L380" i="1" s="1"/>
  <c r="K387" i="1"/>
  <c r="L387" i="1" s="1"/>
  <c r="K388" i="1"/>
  <c r="L388" i="1" s="1"/>
  <c r="K390" i="1"/>
  <c r="L390" i="1" s="1"/>
  <c r="K397" i="1"/>
  <c r="L397" i="1" s="1"/>
  <c r="K398" i="1"/>
  <c r="L398" i="1" s="1"/>
  <c r="K399" i="1"/>
  <c r="L399" i="1" s="1"/>
  <c r="K400" i="1"/>
  <c r="L400" i="1" s="1"/>
  <c r="K407" i="1"/>
  <c r="L407" i="1" s="1"/>
  <c r="K410" i="1"/>
  <c r="L410" i="1" s="1"/>
  <c r="K417" i="1"/>
  <c r="L417" i="1" s="1"/>
  <c r="K418" i="1"/>
  <c r="L418" i="1" s="1"/>
  <c r="K420" i="1"/>
  <c r="L420" i="1" s="1"/>
  <c r="K427" i="1"/>
  <c r="L427" i="1" s="1"/>
  <c r="K430" i="1"/>
  <c r="L430" i="1" s="1"/>
  <c r="K437" i="1"/>
  <c r="L437" i="1" s="1"/>
  <c r="K438" i="1"/>
  <c r="L438" i="1" s="1"/>
  <c r="K440" i="1"/>
  <c r="L440" i="1" s="1"/>
  <c r="K447" i="1"/>
  <c r="L447" i="1" s="1"/>
  <c r="K448" i="1"/>
  <c r="L448" i="1" s="1"/>
  <c r="K449" i="1"/>
  <c r="L449" i="1" s="1"/>
  <c r="K450" i="1"/>
  <c r="L450" i="1" s="1"/>
  <c r="K457" i="1"/>
  <c r="L457" i="1" s="1"/>
  <c r="K458" i="1"/>
  <c r="L458" i="1" s="1"/>
  <c r="K460" i="1"/>
  <c r="L460" i="1" s="1"/>
  <c r="K467" i="1"/>
  <c r="L467" i="1" s="1"/>
  <c r="K468" i="1"/>
  <c r="L468" i="1" s="1"/>
  <c r="K470" i="1"/>
  <c r="L470" i="1" s="1"/>
  <c r="K477" i="1"/>
  <c r="L477" i="1" s="1"/>
  <c r="K478" i="1"/>
  <c r="L478" i="1" s="1"/>
  <c r="K480" i="1"/>
  <c r="L480" i="1" s="1"/>
  <c r="K487" i="1"/>
  <c r="L487" i="1" s="1"/>
  <c r="K488" i="1"/>
  <c r="L488" i="1" s="1"/>
  <c r="K490" i="1"/>
  <c r="L490" i="1" s="1"/>
  <c r="K497" i="1"/>
  <c r="L497" i="1" s="1"/>
  <c r="K498" i="1"/>
  <c r="L498" i="1" s="1"/>
  <c r="K499" i="1"/>
  <c r="L499" i="1" s="1"/>
  <c r="K500" i="1"/>
  <c r="L500" i="1" s="1"/>
  <c r="K507" i="1"/>
  <c r="L507" i="1" s="1"/>
  <c r="K508" i="1"/>
  <c r="L508" i="1" s="1"/>
  <c r="K510" i="1"/>
  <c r="L510" i="1" s="1"/>
  <c r="K517" i="1"/>
  <c r="L517" i="1" s="1"/>
  <c r="K518" i="1"/>
  <c r="L518" i="1" s="1"/>
  <c r="K520" i="1"/>
  <c r="L520" i="1" s="1"/>
  <c r="K527" i="1"/>
  <c r="L527" i="1" s="1"/>
  <c r="K528" i="1"/>
  <c r="L528" i="1" s="1"/>
  <c r="K530" i="1"/>
  <c r="L530" i="1" s="1"/>
  <c r="K537" i="1"/>
  <c r="L537" i="1" s="1"/>
  <c r="K538" i="1"/>
  <c r="L538" i="1" s="1"/>
  <c r="K539" i="1"/>
  <c r="L539" i="1" s="1"/>
  <c r="K540" i="1"/>
  <c r="L540" i="1" s="1"/>
  <c r="K547" i="1"/>
  <c r="L547" i="1" s="1"/>
  <c r="K548" i="1"/>
  <c r="L548" i="1" s="1"/>
  <c r="K549" i="1"/>
  <c r="L549" i="1" s="1"/>
  <c r="K550" i="1"/>
  <c r="L550" i="1" s="1"/>
  <c r="K557" i="1"/>
  <c r="L557" i="1" s="1"/>
  <c r="K558" i="1"/>
  <c r="L558" i="1" s="1"/>
  <c r="K559" i="1"/>
  <c r="L559" i="1" s="1"/>
  <c r="K560" i="1"/>
  <c r="L560" i="1" s="1"/>
  <c r="K567" i="1"/>
  <c r="L567" i="1" s="1"/>
  <c r="K568" i="1"/>
  <c r="L568" i="1" s="1"/>
  <c r="K570" i="1"/>
  <c r="L570" i="1" s="1"/>
  <c r="K577" i="1"/>
  <c r="L577" i="1" s="1"/>
  <c r="K578" i="1"/>
  <c r="L578" i="1" s="1"/>
  <c r="K580" i="1"/>
  <c r="L580" i="1" s="1"/>
  <c r="K587" i="1"/>
  <c r="L587" i="1" s="1"/>
  <c r="K588" i="1"/>
  <c r="L588" i="1" s="1"/>
  <c r="K589" i="1"/>
  <c r="L589" i="1" s="1"/>
  <c r="K590" i="1"/>
  <c r="L590" i="1" s="1"/>
  <c r="K597" i="1"/>
  <c r="L597" i="1" s="1"/>
  <c r="K598" i="1"/>
  <c r="L598" i="1" s="1"/>
  <c r="K599" i="1"/>
  <c r="L599" i="1" s="1"/>
  <c r="K600" i="1"/>
  <c r="L600" i="1" s="1"/>
  <c r="K607" i="1"/>
  <c r="L607" i="1" s="1"/>
  <c r="K608" i="1"/>
  <c r="L608" i="1" s="1"/>
  <c r="K609" i="1"/>
  <c r="L609" i="1" s="1"/>
  <c r="K610" i="1"/>
  <c r="L610" i="1" s="1"/>
  <c r="K617" i="1"/>
  <c r="L617" i="1" s="1"/>
  <c r="K618" i="1"/>
  <c r="L618" i="1" s="1"/>
  <c r="K620" i="1"/>
  <c r="L620" i="1" s="1"/>
  <c r="K709" i="1"/>
  <c r="L709" i="1" s="1"/>
  <c r="K710" i="1"/>
  <c r="L710" i="1" s="1"/>
  <c r="K713" i="1"/>
  <c r="L713" i="1" s="1"/>
  <c r="K726" i="1"/>
  <c r="L726" i="1" s="1"/>
  <c r="K727" i="1"/>
  <c r="L727" i="1" s="1"/>
  <c r="K730" i="1"/>
  <c r="L730" i="1" s="1"/>
  <c r="K732" i="1"/>
  <c r="L732" i="1" s="1"/>
  <c r="K748" i="1"/>
  <c r="L748" i="1" s="1"/>
  <c r="K750" i="1"/>
  <c r="L750" i="1" s="1"/>
  <c r="K753" i="1"/>
  <c r="L753" i="1" s="1"/>
  <c r="K756" i="1"/>
  <c r="L756" i="1" s="1"/>
  <c r="K773" i="1"/>
  <c r="L773" i="1" s="1"/>
  <c r="K774" i="1"/>
  <c r="L774" i="1" s="1"/>
  <c r="K775" i="1"/>
  <c r="L775" i="1" s="1"/>
  <c r="K777" i="1"/>
  <c r="L777" i="1" s="1"/>
  <c r="K784" i="1"/>
  <c r="L784" i="1" s="1"/>
  <c r="K786" i="1"/>
  <c r="L786" i="1" s="1"/>
  <c r="K789" i="1"/>
  <c r="L789" i="1" s="1"/>
  <c r="K801" i="1"/>
  <c r="L801" i="1" s="1"/>
  <c r="K802" i="1"/>
  <c r="L802" i="1" s="1"/>
  <c r="K807" i="1"/>
  <c r="L807" i="1" s="1"/>
  <c r="K829" i="1"/>
  <c r="L829" i="1" s="1"/>
  <c r="K831" i="1"/>
  <c r="L831" i="1" s="1"/>
  <c r="K832" i="1"/>
  <c r="L832" i="1" s="1"/>
  <c r="K834" i="1"/>
  <c r="L834" i="1" s="1"/>
  <c r="K854" i="1"/>
  <c r="L854" i="1" s="1"/>
  <c r="K855" i="1"/>
  <c r="L855" i="1" s="1"/>
  <c r="K856" i="1"/>
  <c r="L856" i="1" s="1"/>
  <c r="K857" i="1"/>
  <c r="L857" i="1" s="1"/>
  <c r="K864" i="1"/>
  <c r="L864" i="1" s="1"/>
  <c r="K865" i="1"/>
  <c r="L865" i="1" s="1"/>
  <c r="K866" i="1"/>
  <c r="L866" i="1" s="1"/>
  <c r="K867" i="1"/>
  <c r="L867" i="1" s="1"/>
  <c r="K874" i="1"/>
  <c r="L874" i="1" s="1"/>
  <c r="K875" i="1"/>
  <c r="L875" i="1" s="1"/>
  <c r="K876" i="1"/>
  <c r="L876" i="1" s="1"/>
  <c r="K877" i="1"/>
  <c r="L877" i="1" s="1"/>
  <c r="K884" i="1"/>
  <c r="L884" i="1" s="1"/>
  <c r="K885" i="1"/>
  <c r="L885" i="1" s="1"/>
  <c r="K886" i="1"/>
  <c r="L886" i="1" s="1"/>
  <c r="K887" i="1"/>
  <c r="L887" i="1" s="1"/>
  <c r="K894" i="1"/>
  <c r="L894" i="1" s="1"/>
  <c r="K895" i="1"/>
  <c r="L895" i="1" s="1"/>
  <c r="K896" i="1"/>
  <c r="L896" i="1" s="1"/>
  <c r="K897" i="1"/>
  <c r="L897" i="1" s="1"/>
  <c r="K904" i="1"/>
  <c r="L904" i="1" s="1"/>
  <c r="K905" i="1"/>
  <c r="L905" i="1" s="1"/>
  <c r="K906" i="1"/>
  <c r="L906" i="1" s="1"/>
  <c r="K907" i="1"/>
  <c r="L907" i="1" s="1"/>
  <c r="K914" i="1"/>
  <c r="L914" i="1" s="1"/>
  <c r="K915" i="1"/>
  <c r="L915" i="1" s="1"/>
  <c r="K916" i="1"/>
  <c r="L916" i="1" s="1"/>
  <c r="K917" i="1"/>
  <c r="L917" i="1" s="1"/>
  <c r="K31" i="1"/>
  <c r="L31" i="1" s="1"/>
  <c r="K32" i="1"/>
  <c r="L32" i="1" s="1"/>
  <c r="K33" i="1"/>
  <c r="L33" i="1" s="1"/>
  <c r="K34" i="1"/>
  <c r="L34" i="1" s="1"/>
  <c r="K175" i="1"/>
  <c r="L175" i="1" s="1"/>
  <c r="K176" i="1"/>
  <c r="L176" i="1" s="1"/>
  <c r="K177" i="1"/>
  <c r="L177" i="1" s="1"/>
  <c r="K178" i="1"/>
  <c r="L178" i="1" s="1"/>
  <c r="K187" i="1"/>
  <c r="L187" i="1" s="1"/>
  <c r="K220" i="1"/>
  <c r="L220" i="1" s="1"/>
  <c r="K294" i="1"/>
  <c r="L294" i="1" s="1"/>
  <c r="K295" i="1"/>
  <c r="L295" i="1" s="1"/>
  <c r="K302" i="1"/>
  <c r="L302" i="1" s="1"/>
  <c r="K303" i="1"/>
  <c r="L303" i="1" s="1"/>
  <c r="K304" i="1"/>
  <c r="L304" i="1" s="1"/>
  <c r="K305" i="1"/>
  <c r="L305" i="1" s="1"/>
  <c r="K638" i="1"/>
  <c r="L638" i="1" s="1"/>
  <c r="K657" i="1"/>
  <c r="L657" i="1" s="1"/>
  <c r="K659" i="1"/>
  <c r="L659" i="1" s="1"/>
  <c r="K677" i="1"/>
  <c r="L677" i="1" s="1"/>
  <c r="K21" i="1"/>
  <c r="L21" i="1" s="1"/>
  <c r="K24" i="1"/>
  <c r="L24" i="1" s="1"/>
  <c r="K25" i="1"/>
  <c r="L25" i="1" s="1"/>
  <c r="K46" i="1"/>
  <c r="L46" i="1" s="1"/>
  <c r="K164" i="1"/>
  <c r="L164" i="1" s="1"/>
  <c r="K165" i="1"/>
  <c r="L165" i="1" s="1"/>
  <c r="K167" i="1"/>
  <c r="L167" i="1" s="1"/>
  <c r="K168" i="1"/>
  <c r="L168" i="1" s="1"/>
  <c r="K265" i="1"/>
  <c r="L265" i="1" s="1"/>
  <c r="K266" i="1"/>
  <c r="L266" i="1" s="1"/>
  <c r="K267" i="1"/>
  <c r="L267" i="1" s="1"/>
  <c r="K268" i="1"/>
  <c r="L268" i="1" s="1"/>
  <c r="K275" i="1"/>
  <c r="L275" i="1" s="1"/>
  <c r="K276" i="1"/>
  <c r="L276" i="1" s="1"/>
  <c r="K277" i="1"/>
  <c r="L277" i="1" s="1"/>
  <c r="K278" i="1"/>
  <c r="L278" i="1" s="1"/>
  <c r="K705" i="1"/>
  <c r="L705" i="1" s="1"/>
  <c r="K734" i="1"/>
  <c r="L734" i="1" s="1"/>
  <c r="K739" i="1"/>
  <c r="L739" i="1" s="1"/>
  <c r="K742" i="1"/>
  <c r="L742" i="1" s="1"/>
  <c r="K763" i="1"/>
  <c r="L763" i="1" s="1"/>
  <c r="K766" i="1"/>
  <c r="L766" i="1" s="1"/>
  <c r="K767" i="1"/>
  <c r="L767" i="1" s="1"/>
  <c r="K768" i="1"/>
  <c r="L768" i="1" s="1"/>
  <c r="K793" i="1"/>
  <c r="L793" i="1" s="1"/>
  <c r="K803" i="1"/>
  <c r="L803" i="1" s="1"/>
  <c r="K809" i="1"/>
  <c r="L809" i="1" s="1"/>
  <c r="K811" i="1"/>
  <c r="L811" i="1" s="1"/>
  <c r="K2" i="1"/>
  <c r="L2" i="1" s="1"/>
  <c r="K3" i="1"/>
  <c r="L3" i="1" s="1"/>
  <c r="K4" i="1"/>
  <c r="L4" i="1" s="1"/>
  <c r="K5" i="1"/>
  <c r="L5" i="1" s="1"/>
  <c r="K6" i="1"/>
  <c r="L6" i="1" s="1"/>
  <c r="K7" i="1"/>
  <c r="L7" i="1" s="1"/>
  <c r="K8" i="1"/>
  <c r="L8" i="1" s="1"/>
  <c r="K13" i="1"/>
  <c r="L13" i="1" s="1"/>
  <c r="K14" i="1"/>
  <c r="L14" i="1" s="1"/>
  <c r="K15" i="1"/>
  <c r="L15" i="1" s="1"/>
  <c r="K16" i="1"/>
  <c r="L16" i="1" s="1"/>
  <c r="K47" i="1"/>
  <c r="L47" i="1" s="1"/>
  <c r="K48" i="1"/>
  <c r="L48" i="1" s="1"/>
  <c r="K53" i="1"/>
  <c r="L53" i="1" s="1"/>
  <c r="K54" i="1"/>
  <c r="L54" i="1" s="1"/>
  <c r="K55" i="1"/>
  <c r="L55" i="1" s="1"/>
  <c r="K56" i="1"/>
  <c r="L56" i="1" s="1"/>
  <c r="K57" i="1"/>
  <c r="L57" i="1" s="1"/>
  <c r="K58" i="1"/>
  <c r="L58" i="1" s="1"/>
  <c r="K115" i="1"/>
  <c r="L115" i="1" s="1"/>
  <c r="K116" i="1"/>
  <c r="L116" i="1" s="1"/>
  <c r="K117" i="1"/>
  <c r="L117" i="1" s="1"/>
  <c r="K118" i="1"/>
  <c r="L118" i="1" s="1"/>
  <c r="K119" i="1"/>
  <c r="L119" i="1" s="1"/>
  <c r="K120" i="1"/>
  <c r="L120" i="1" s="1"/>
  <c r="K125" i="1"/>
  <c r="L125" i="1" s="1"/>
  <c r="K126" i="1"/>
  <c r="L126" i="1" s="1"/>
  <c r="K628" i="1"/>
  <c r="L628" i="1" s="1"/>
  <c r="K631" i="1"/>
  <c r="L631" i="1" s="1"/>
  <c r="K652" i="1"/>
  <c r="L652" i="1" s="1"/>
  <c r="K653" i="1"/>
  <c r="L653" i="1" s="1"/>
  <c r="K674" i="1"/>
  <c r="L674" i="1" s="1"/>
  <c r="K685" i="1"/>
  <c r="L685" i="1" s="1"/>
  <c r="K691" i="1"/>
  <c r="L691" i="1" s="1"/>
  <c r="K692" i="1"/>
  <c r="L692" i="1" s="1"/>
  <c r="K694" i="1"/>
  <c r="L694" i="1" s="1"/>
  <c r="K695" i="1"/>
  <c r="L695" i="1" s="1"/>
  <c r="K166" i="1"/>
  <c r="L166" i="1" s="1"/>
  <c r="K169" i="1"/>
  <c r="L169" i="1" s="1"/>
  <c r="K170" i="1"/>
  <c r="L170" i="1" s="1"/>
  <c r="K171" i="1"/>
  <c r="L171" i="1" s="1"/>
  <c r="K172" i="1"/>
  <c r="L172" i="1" s="1"/>
  <c r="K173" i="1"/>
  <c r="L173" i="1" s="1"/>
  <c r="K285" i="1"/>
  <c r="L285" i="1" s="1"/>
  <c r="K286" i="1"/>
  <c r="L286" i="1" s="1"/>
  <c r="K287" i="1"/>
  <c r="L287" i="1" s="1"/>
  <c r="K288" i="1"/>
  <c r="L288" i="1" s="1"/>
  <c r="K289" i="1"/>
  <c r="L289" i="1" s="1"/>
  <c r="K290" i="1"/>
  <c r="L290" i="1" s="1"/>
  <c r="K45" i="1"/>
  <c r="L45" i="1" s="1"/>
  <c r="K197" i="1"/>
  <c r="L197" i="1" s="1"/>
  <c r="K198" i="1"/>
  <c r="L198" i="1" s="1"/>
  <c r="K199" i="1"/>
  <c r="L199" i="1" s="1"/>
  <c r="K200" i="1"/>
  <c r="L200" i="1" s="1"/>
  <c r="K201" i="1"/>
  <c r="L201" i="1" s="1"/>
  <c r="K330" i="1"/>
  <c r="L330" i="1" s="1"/>
  <c r="K331" i="1"/>
  <c r="L331" i="1" s="1"/>
  <c r="K332" i="1"/>
  <c r="L332" i="1" s="1"/>
  <c r="K333" i="1"/>
  <c r="L333" i="1" s="1"/>
  <c r="K334" i="1"/>
  <c r="L334" i="1" s="1"/>
  <c r="K637" i="1"/>
  <c r="L637" i="1" s="1"/>
  <c r="K63" i="1"/>
  <c r="L63" i="1" s="1"/>
  <c r="K64" i="1"/>
  <c r="L64" i="1" s="1"/>
  <c r="K65" i="1"/>
  <c r="L65" i="1" s="1"/>
  <c r="K66" i="1"/>
  <c r="L66" i="1" s="1"/>
  <c r="K67" i="1"/>
  <c r="L67" i="1" s="1"/>
  <c r="K68" i="1"/>
  <c r="L68" i="1" s="1"/>
  <c r="K73" i="1"/>
  <c r="L73" i="1" s="1"/>
  <c r="K74" i="1"/>
  <c r="L74" i="1" s="1"/>
  <c r="K75" i="1"/>
  <c r="L75" i="1" s="1"/>
  <c r="K76" i="1"/>
  <c r="L76" i="1" s="1"/>
  <c r="K77" i="1"/>
  <c r="L77" i="1" s="1"/>
  <c r="K78" i="1"/>
  <c r="L78" i="1" s="1"/>
  <c r="K643" i="1"/>
  <c r="L643" i="1" s="1"/>
  <c r="K644" i="1"/>
  <c r="L644" i="1" s="1"/>
  <c r="K645" i="1"/>
  <c r="L645" i="1" s="1"/>
  <c r="K646" i="1"/>
  <c r="L646" i="1" s="1"/>
  <c r="K647" i="1"/>
  <c r="L647" i="1" s="1"/>
  <c r="K649" i="1"/>
  <c r="L649" i="1" s="1"/>
  <c r="K656" i="1"/>
  <c r="L656" i="1" s="1"/>
  <c r="K658" i="1"/>
  <c r="L658" i="1" s="1"/>
  <c r="K662" i="1"/>
  <c r="L662" i="1" s="1"/>
  <c r="K664" i="1"/>
  <c r="L664" i="1" s="1"/>
  <c r="K665" i="1"/>
  <c r="L665" i="1" s="1"/>
  <c r="K671" i="1"/>
  <c r="L671" i="1" s="1"/>
  <c r="K30" i="1"/>
  <c r="L30" i="1" s="1"/>
  <c r="K185" i="1"/>
  <c r="L185" i="1" s="1"/>
  <c r="K186" i="1"/>
  <c r="L186" i="1" s="1"/>
  <c r="K188" i="1"/>
  <c r="L188" i="1" s="1"/>
  <c r="K189" i="1"/>
  <c r="L189" i="1" s="1"/>
  <c r="K190" i="1"/>
  <c r="L190" i="1" s="1"/>
  <c r="K195" i="1"/>
  <c r="L195" i="1" s="1"/>
  <c r="K196" i="1"/>
  <c r="L196" i="1" s="1"/>
  <c r="K312" i="1"/>
  <c r="L312" i="1" s="1"/>
  <c r="K313" i="1"/>
  <c r="L313" i="1" s="1"/>
  <c r="K314" i="1"/>
  <c r="L314" i="1" s="1"/>
  <c r="K315" i="1"/>
  <c r="L315" i="1" s="1"/>
  <c r="K320" i="1"/>
  <c r="L320" i="1" s="1"/>
  <c r="K321" i="1"/>
  <c r="L321" i="1" s="1"/>
  <c r="K322" i="1"/>
  <c r="L322" i="1" s="1"/>
  <c r="K323" i="1"/>
  <c r="L323" i="1" s="1"/>
  <c r="K324" i="1"/>
  <c r="L324" i="1" s="1"/>
  <c r="K325" i="1"/>
  <c r="L325" i="1" s="1"/>
  <c r="K38" i="1"/>
  <c r="L38" i="1" s="1"/>
  <c r="K107" i="1"/>
  <c r="L107" i="1" s="1"/>
  <c r="K108" i="1"/>
  <c r="L108" i="1" s="1"/>
  <c r="K109" i="1"/>
  <c r="L109" i="1" s="1"/>
  <c r="K111" i="1"/>
  <c r="L111" i="1" s="1"/>
  <c r="K112" i="1"/>
  <c r="L112" i="1" s="1"/>
  <c r="K341" i="1"/>
  <c r="L341" i="1" s="1"/>
  <c r="K342" i="1"/>
  <c r="L342" i="1" s="1"/>
  <c r="K343" i="1"/>
  <c r="L343" i="1" s="1"/>
  <c r="K344" i="1"/>
  <c r="L344" i="1" s="1"/>
  <c r="K345" i="1"/>
  <c r="L345" i="1" s="1"/>
  <c r="K346" i="1"/>
  <c r="L346" i="1" s="1"/>
  <c r="K351" i="1"/>
  <c r="L351" i="1" s="1"/>
  <c r="K352" i="1"/>
  <c r="L352" i="1" s="1"/>
  <c r="K353" i="1"/>
  <c r="L353" i="1" s="1"/>
  <c r="K354" i="1"/>
  <c r="L354" i="1" s="1"/>
  <c r="K355" i="1"/>
  <c r="L355" i="1" s="1"/>
  <c r="K356" i="1"/>
  <c r="L356" i="1" s="1"/>
  <c r="K361" i="1"/>
  <c r="L361" i="1" s="1"/>
  <c r="K362" i="1"/>
  <c r="L362" i="1" s="1"/>
  <c r="K363" i="1"/>
  <c r="L363" i="1" s="1"/>
  <c r="K364" i="1"/>
  <c r="L364" i="1" s="1"/>
  <c r="K365" i="1"/>
  <c r="L365" i="1" s="1"/>
  <c r="K366" i="1"/>
  <c r="L366" i="1" s="1"/>
  <c r="K371" i="1"/>
  <c r="L371" i="1" s="1"/>
  <c r="K372" i="1"/>
  <c r="L372" i="1" s="1"/>
  <c r="K373" i="1"/>
  <c r="L373" i="1" s="1"/>
  <c r="K374" i="1"/>
  <c r="L374" i="1" s="1"/>
  <c r="K375" i="1"/>
  <c r="L375" i="1" s="1"/>
  <c r="K376" i="1"/>
  <c r="L376" i="1" s="1"/>
  <c r="K381" i="1"/>
  <c r="L381" i="1" s="1"/>
  <c r="K382" i="1"/>
  <c r="L382" i="1" s="1"/>
  <c r="K383" i="1"/>
  <c r="L383" i="1" s="1"/>
  <c r="K384" i="1"/>
  <c r="L384" i="1" s="1"/>
  <c r="K385" i="1"/>
  <c r="L385" i="1" s="1"/>
  <c r="K386" i="1"/>
  <c r="L386" i="1" s="1"/>
  <c r="K391" i="1"/>
  <c r="L391" i="1" s="1"/>
  <c r="K392" i="1"/>
  <c r="L392" i="1" s="1"/>
  <c r="K393" i="1"/>
  <c r="L393" i="1" s="1"/>
  <c r="K394" i="1"/>
  <c r="L394" i="1" s="1"/>
  <c r="K395" i="1"/>
  <c r="L395" i="1" s="1"/>
  <c r="K396" i="1"/>
  <c r="L396" i="1" s="1"/>
  <c r="K401" i="1"/>
  <c r="L401" i="1" s="1"/>
  <c r="K402" i="1"/>
  <c r="L402" i="1" s="1"/>
  <c r="K403" i="1"/>
  <c r="L403" i="1" s="1"/>
  <c r="K404" i="1"/>
  <c r="L404" i="1" s="1"/>
  <c r="K405" i="1"/>
  <c r="L405" i="1" s="1"/>
  <c r="K406" i="1"/>
  <c r="L406" i="1" s="1"/>
  <c r="K411" i="1"/>
  <c r="L411" i="1" s="1"/>
  <c r="K412" i="1"/>
  <c r="L412" i="1" s="1"/>
  <c r="K413" i="1"/>
  <c r="L413" i="1" s="1"/>
  <c r="K414" i="1"/>
  <c r="L414" i="1" s="1"/>
  <c r="K415" i="1"/>
  <c r="L415" i="1" s="1"/>
  <c r="K416" i="1"/>
  <c r="L416" i="1" s="1"/>
  <c r="K421" i="1"/>
  <c r="L421" i="1" s="1"/>
  <c r="K422" i="1"/>
  <c r="L422" i="1" s="1"/>
  <c r="K423" i="1"/>
  <c r="L423" i="1" s="1"/>
  <c r="K424" i="1"/>
  <c r="L424" i="1" s="1"/>
  <c r="K425" i="1"/>
  <c r="L425" i="1" s="1"/>
  <c r="K426" i="1"/>
  <c r="L426" i="1" s="1"/>
  <c r="K431" i="1"/>
  <c r="L431" i="1" s="1"/>
  <c r="K432" i="1"/>
  <c r="L432" i="1" s="1"/>
  <c r="K433" i="1"/>
  <c r="L433" i="1" s="1"/>
  <c r="K434" i="1"/>
  <c r="L434" i="1" s="1"/>
  <c r="K435" i="1"/>
  <c r="L435" i="1" s="1"/>
  <c r="K436" i="1"/>
  <c r="L436" i="1" s="1"/>
  <c r="K441" i="1"/>
  <c r="L441" i="1" s="1"/>
  <c r="K442" i="1"/>
  <c r="L442" i="1" s="1"/>
  <c r="K443" i="1"/>
  <c r="L443" i="1" s="1"/>
  <c r="K444" i="1"/>
  <c r="L444" i="1" s="1"/>
  <c r="K445" i="1"/>
  <c r="L445" i="1" s="1"/>
  <c r="K446" i="1"/>
  <c r="L446" i="1" s="1"/>
  <c r="K451" i="1"/>
  <c r="L451" i="1" s="1"/>
  <c r="K452" i="1"/>
  <c r="L452" i="1" s="1"/>
  <c r="K453" i="1"/>
  <c r="L453" i="1" s="1"/>
  <c r="K454" i="1"/>
  <c r="L454" i="1" s="1"/>
  <c r="K455" i="1"/>
  <c r="L455" i="1" s="1"/>
  <c r="K456" i="1"/>
  <c r="L456" i="1" s="1"/>
  <c r="K461" i="1"/>
  <c r="L461" i="1" s="1"/>
  <c r="K462" i="1"/>
  <c r="L462" i="1" s="1"/>
  <c r="K463" i="1"/>
  <c r="L463" i="1" s="1"/>
  <c r="K464" i="1"/>
  <c r="L464" i="1" s="1"/>
  <c r="K465" i="1"/>
  <c r="L465" i="1" s="1"/>
  <c r="K466" i="1"/>
  <c r="L466" i="1" s="1"/>
  <c r="K471" i="1"/>
  <c r="L471" i="1" s="1"/>
  <c r="K472" i="1"/>
  <c r="L472" i="1" s="1"/>
  <c r="K473" i="1"/>
  <c r="L473" i="1" s="1"/>
  <c r="K474" i="1"/>
  <c r="L474" i="1" s="1"/>
  <c r="K475" i="1"/>
  <c r="L475" i="1" s="1"/>
  <c r="K476" i="1"/>
  <c r="L476" i="1" s="1"/>
  <c r="K481" i="1"/>
  <c r="L481" i="1" s="1"/>
  <c r="K482" i="1"/>
  <c r="L482" i="1" s="1"/>
  <c r="K483" i="1"/>
  <c r="L483" i="1" s="1"/>
  <c r="K484" i="1"/>
  <c r="L484" i="1" s="1"/>
  <c r="K485" i="1"/>
  <c r="L485" i="1" s="1"/>
  <c r="K486" i="1"/>
  <c r="L486" i="1" s="1"/>
  <c r="K491" i="1"/>
  <c r="L491" i="1" s="1"/>
  <c r="K492" i="1"/>
  <c r="L492" i="1" s="1"/>
  <c r="K493" i="1"/>
  <c r="L493" i="1" s="1"/>
  <c r="K494" i="1"/>
  <c r="L494" i="1" s="1"/>
  <c r="K495" i="1"/>
  <c r="L495" i="1" s="1"/>
  <c r="K496" i="1"/>
  <c r="L496" i="1" s="1"/>
  <c r="K501" i="1"/>
  <c r="L501" i="1" s="1"/>
  <c r="K502" i="1"/>
  <c r="L502" i="1" s="1"/>
  <c r="K503" i="1"/>
  <c r="L503" i="1" s="1"/>
  <c r="K504" i="1"/>
  <c r="L504" i="1" s="1"/>
  <c r="K505" i="1"/>
  <c r="L505" i="1" s="1"/>
  <c r="K506" i="1"/>
  <c r="L506" i="1" s="1"/>
  <c r="K511" i="1"/>
  <c r="L511" i="1" s="1"/>
  <c r="K512" i="1"/>
  <c r="L512" i="1" s="1"/>
  <c r="K513" i="1"/>
  <c r="L513" i="1" s="1"/>
  <c r="K514" i="1"/>
  <c r="L514" i="1" s="1"/>
  <c r="K515" i="1"/>
  <c r="L515" i="1" s="1"/>
  <c r="K516" i="1"/>
  <c r="L516" i="1" s="1"/>
  <c r="K521" i="1"/>
  <c r="L521" i="1" s="1"/>
  <c r="K522" i="1"/>
  <c r="L522" i="1" s="1"/>
  <c r="K523" i="1"/>
  <c r="L523" i="1" s="1"/>
  <c r="K524" i="1"/>
  <c r="L524" i="1" s="1"/>
  <c r="K525" i="1"/>
  <c r="L525" i="1" s="1"/>
  <c r="K526" i="1"/>
  <c r="L526" i="1" s="1"/>
  <c r="K531" i="1"/>
  <c r="L531" i="1" s="1"/>
  <c r="K532" i="1"/>
  <c r="L532" i="1" s="1"/>
  <c r="K533" i="1"/>
  <c r="L533" i="1" s="1"/>
  <c r="K534" i="1"/>
  <c r="L534" i="1" s="1"/>
  <c r="K535" i="1"/>
  <c r="L535" i="1" s="1"/>
  <c r="K536" i="1"/>
  <c r="L536" i="1" s="1"/>
  <c r="K541" i="1"/>
  <c r="L541" i="1" s="1"/>
  <c r="K542" i="1"/>
  <c r="L542" i="1" s="1"/>
  <c r="K543" i="1"/>
  <c r="L543" i="1" s="1"/>
  <c r="K544" i="1"/>
  <c r="L544" i="1" s="1"/>
  <c r="K545" i="1"/>
  <c r="L545" i="1" s="1"/>
  <c r="K546" i="1"/>
  <c r="L546" i="1" s="1"/>
  <c r="K551" i="1"/>
  <c r="L551" i="1" s="1"/>
  <c r="K552" i="1"/>
  <c r="L552" i="1" s="1"/>
  <c r="K553" i="1"/>
  <c r="L553" i="1" s="1"/>
  <c r="K554" i="1"/>
  <c r="L554" i="1" s="1"/>
  <c r="K555" i="1"/>
  <c r="L555" i="1" s="1"/>
  <c r="K556" i="1"/>
  <c r="L556" i="1" s="1"/>
  <c r="K561" i="1"/>
  <c r="L561" i="1" s="1"/>
  <c r="K562" i="1"/>
  <c r="L562" i="1" s="1"/>
  <c r="K563" i="1"/>
  <c r="L563" i="1" s="1"/>
  <c r="K564" i="1"/>
  <c r="L564" i="1" s="1"/>
  <c r="K565" i="1"/>
  <c r="L565" i="1" s="1"/>
  <c r="K566" i="1"/>
  <c r="L566" i="1" s="1"/>
  <c r="K571" i="1"/>
  <c r="L571" i="1" s="1"/>
  <c r="K572" i="1"/>
  <c r="L572" i="1" s="1"/>
  <c r="K573" i="1"/>
  <c r="L573" i="1" s="1"/>
  <c r="K574" i="1"/>
  <c r="L574" i="1" s="1"/>
  <c r="K575" i="1"/>
  <c r="L575" i="1" s="1"/>
  <c r="K576" i="1"/>
  <c r="L576" i="1" s="1"/>
  <c r="K581" i="1"/>
  <c r="L581" i="1" s="1"/>
  <c r="K582" i="1"/>
  <c r="L582" i="1" s="1"/>
  <c r="K583" i="1"/>
  <c r="L583" i="1" s="1"/>
  <c r="K584" i="1"/>
  <c r="L584" i="1" s="1"/>
  <c r="K585" i="1"/>
  <c r="L585" i="1" s="1"/>
  <c r="K586" i="1"/>
  <c r="L586" i="1" s="1"/>
  <c r="K591" i="1"/>
  <c r="L591" i="1" s="1"/>
  <c r="K592" i="1"/>
  <c r="L592" i="1" s="1"/>
  <c r="K593" i="1"/>
  <c r="L593" i="1" s="1"/>
  <c r="K594" i="1"/>
  <c r="L594" i="1" s="1"/>
  <c r="K595" i="1"/>
  <c r="L595" i="1" s="1"/>
  <c r="K596" i="1"/>
  <c r="L596" i="1" s="1"/>
  <c r="K601" i="1"/>
  <c r="L601" i="1" s="1"/>
  <c r="K602" i="1"/>
  <c r="L602" i="1" s="1"/>
  <c r="K603" i="1"/>
  <c r="L603" i="1" s="1"/>
  <c r="K604" i="1"/>
  <c r="L604" i="1" s="1"/>
  <c r="K605" i="1"/>
  <c r="L605" i="1" s="1"/>
  <c r="K606" i="1"/>
  <c r="L606" i="1" s="1"/>
  <c r="K611" i="1"/>
  <c r="L611" i="1" s="1"/>
  <c r="K612" i="1"/>
  <c r="L612" i="1" s="1"/>
  <c r="K613" i="1"/>
  <c r="L613" i="1" s="1"/>
  <c r="K614" i="1"/>
  <c r="L614" i="1" s="1"/>
  <c r="K615" i="1"/>
  <c r="L615" i="1" s="1"/>
  <c r="K616" i="1"/>
  <c r="L616" i="1" s="1"/>
  <c r="K621" i="1"/>
  <c r="L621" i="1" s="1"/>
  <c r="K622" i="1"/>
  <c r="L622" i="1" s="1"/>
  <c r="K623" i="1"/>
  <c r="L623" i="1" s="1"/>
  <c r="K624" i="1"/>
  <c r="L624" i="1" s="1"/>
  <c r="K629" i="1"/>
  <c r="L629" i="1" s="1"/>
  <c r="K634" i="1"/>
  <c r="L634" i="1" s="1"/>
  <c r="K715" i="1"/>
  <c r="L715" i="1" s="1"/>
  <c r="K716" i="1"/>
  <c r="L716" i="1" s="1"/>
  <c r="K717" i="1"/>
  <c r="L717" i="1" s="1"/>
  <c r="K718" i="1"/>
  <c r="L718" i="1" s="1"/>
  <c r="K720" i="1"/>
  <c r="L720" i="1" s="1"/>
  <c r="K723" i="1"/>
  <c r="L723" i="1" s="1"/>
  <c r="K733" i="1"/>
  <c r="L733" i="1" s="1"/>
  <c r="K735" i="1"/>
  <c r="L735" i="1" s="1"/>
  <c r="K736" i="1"/>
  <c r="L736" i="1" s="1"/>
  <c r="K741" i="1"/>
  <c r="L741" i="1" s="1"/>
  <c r="K744" i="1"/>
  <c r="L744" i="1" s="1"/>
  <c r="K747" i="1"/>
  <c r="L747" i="1" s="1"/>
  <c r="K759" i="1"/>
  <c r="L759" i="1" s="1"/>
  <c r="K760" i="1"/>
  <c r="L760" i="1" s="1"/>
  <c r="K762" i="1"/>
  <c r="L762" i="1" s="1"/>
  <c r="K765" i="1"/>
  <c r="L765" i="1" s="1"/>
  <c r="K771" i="1"/>
  <c r="L771" i="1" s="1"/>
  <c r="K772" i="1"/>
  <c r="L772" i="1" s="1"/>
  <c r="K778" i="1"/>
  <c r="L778" i="1" s="1"/>
  <c r="K779" i="1"/>
  <c r="L779" i="1" s="1"/>
  <c r="K780" i="1"/>
  <c r="L780" i="1" s="1"/>
  <c r="K781" i="1"/>
  <c r="L781" i="1" s="1"/>
  <c r="K782" i="1"/>
  <c r="L782" i="1" s="1"/>
  <c r="K783" i="1"/>
  <c r="L783" i="1" s="1"/>
  <c r="K792" i="1"/>
  <c r="L792" i="1" s="1"/>
  <c r="K795" i="1"/>
  <c r="L795" i="1" s="1"/>
  <c r="K796" i="1"/>
  <c r="L796" i="1" s="1"/>
  <c r="K798" i="1"/>
  <c r="L798" i="1" s="1"/>
  <c r="K799" i="1"/>
  <c r="L799" i="1" s="1"/>
  <c r="K800" i="1"/>
  <c r="L800" i="1" s="1"/>
  <c r="K808" i="1"/>
  <c r="L808" i="1" s="1"/>
  <c r="K810" i="1"/>
  <c r="L810" i="1" s="1"/>
  <c r="K816" i="1"/>
  <c r="L816" i="1" s="1"/>
  <c r="K819" i="1"/>
  <c r="L819" i="1" s="1"/>
  <c r="K822" i="1"/>
  <c r="L822" i="1" s="1"/>
  <c r="K828" i="1"/>
  <c r="L828" i="1" s="1"/>
  <c r="K846" i="1"/>
  <c r="L846" i="1" s="1"/>
  <c r="K849" i="1"/>
  <c r="L849" i="1" s="1"/>
  <c r="K850" i="1"/>
  <c r="L850" i="1" s="1"/>
  <c r="K851" i="1"/>
  <c r="L851" i="1" s="1"/>
  <c r="K852" i="1"/>
  <c r="L852" i="1" s="1"/>
  <c r="K853" i="1"/>
  <c r="L853" i="1" s="1"/>
  <c r="K858" i="1"/>
  <c r="L858" i="1" s="1"/>
  <c r="K859" i="1"/>
  <c r="L859" i="1" s="1"/>
  <c r="K860" i="1"/>
  <c r="L860" i="1" s="1"/>
  <c r="K861" i="1"/>
  <c r="L861" i="1" s="1"/>
  <c r="K862" i="1"/>
  <c r="L862" i="1" s="1"/>
  <c r="K863" i="1"/>
  <c r="L863" i="1" s="1"/>
  <c r="K868" i="1"/>
  <c r="L868" i="1" s="1"/>
  <c r="K869" i="1"/>
  <c r="L869" i="1" s="1"/>
  <c r="K870" i="1"/>
  <c r="L870" i="1" s="1"/>
  <c r="K871" i="1"/>
  <c r="L871" i="1" s="1"/>
  <c r="K872" i="1"/>
  <c r="L872" i="1" s="1"/>
  <c r="K873" i="1"/>
  <c r="L873" i="1" s="1"/>
  <c r="K878" i="1"/>
  <c r="L878" i="1" s="1"/>
  <c r="K879" i="1"/>
  <c r="L879" i="1" s="1"/>
  <c r="K880" i="1"/>
  <c r="L880" i="1" s="1"/>
  <c r="K881" i="1"/>
  <c r="L881" i="1" s="1"/>
  <c r="K882" i="1"/>
  <c r="L882" i="1" s="1"/>
  <c r="K883" i="1"/>
  <c r="L883" i="1" s="1"/>
  <c r="K888" i="1"/>
  <c r="L888" i="1" s="1"/>
  <c r="K889" i="1"/>
  <c r="L889" i="1" s="1"/>
  <c r="K890" i="1"/>
  <c r="L890" i="1" s="1"/>
  <c r="K891" i="1"/>
  <c r="L891" i="1" s="1"/>
  <c r="K892" i="1"/>
  <c r="L892" i="1" s="1"/>
  <c r="K893" i="1"/>
  <c r="L893" i="1" s="1"/>
  <c r="K898" i="1"/>
  <c r="L898" i="1" s="1"/>
  <c r="K899" i="1"/>
  <c r="L899" i="1" s="1"/>
  <c r="K900" i="1"/>
  <c r="L900" i="1" s="1"/>
  <c r="K901" i="1"/>
  <c r="L901" i="1" s="1"/>
  <c r="K902" i="1"/>
  <c r="L902" i="1" s="1"/>
  <c r="K903" i="1"/>
  <c r="L903" i="1" s="1"/>
  <c r="K908" i="1"/>
  <c r="L908" i="1" s="1"/>
  <c r="K909" i="1"/>
  <c r="L909" i="1" s="1"/>
  <c r="K910" i="1"/>
  <c r="L910" i="1" s="1"/>
  <c r="K911" i="1"/>
  <c r="L911" i="1" s="1"/>
  <c r="K912" i="1"/>
  <c r="L912" i="1" s="1"/>
  <c r="K913" i="1"/>
  <c r="L913" i="1" s="1"/>
  <c r="K918" i="1"/>
  <c r="L918" i="1" s="1"/>
  <c r="K919" i="1"/>
  <c r="L919" i="1" s="1"/>
  <c r="K920" i="1"/>
  <c r="L920" i="1" s="1"/>
  <c r="K26" i="1"/>
  <c r="L26" i="1" s="1"/>
  <c r="K27" i="1"/>
  <c r="L27" i="1" s="1"/>
  <c r="K28" i="1"/>
  <c r="L28" i="1" s="1"/>
  <c r="K39" i="1"/>
  <c r="L39" i="1" s="1"/>
  <c r="K40" i="1"/>
  <c r="L40" i="1" s="1"/>
  <c r="K41" i="1"/>
  <c r="L41" i="1" s="1"/>
  <c r="K42" i="1"/>
  <c r="L42" i="1" s="1"/>
  <c r="K43" i="1"/>
  <c r="L43" i="1" s="1"/>
  <c r="K174" i="1"/>
  <c r="L174" i="1" s="1"/>
  <c r="K179" i="1"/>
  <c r="L179" i="1" s="1"/>
  <c r="K180" i="1"/>
  <c r="L180" i="1" s="1"/>
  <c r="K181" i="1"/>
  <c r="L181" i="1" s="1"/>
  <c r="K182" i="1"/>
  <c r="L182" i="1" s="1"/>
  <c r="K183" i="1"/>
  <c r="L183" i="1" s="1"/>
  <c r="K184" i="1"/>
  <c r="L184" i="1" s="1"/>
  <c r="K296" i="1"/>
  <c r="L296" i="1" s="1"/>
  <c r="K297" i="1"/>
  <c r="L297" i="1" s="1"/>
  <c r="K298" i="1"/>
  <c r="L298" i="1" s="1"/>
  <c r="K299" i="1"/>
  <c r="L299" i="1" s="1"/>
  <c r="K300" i="1"/>
  <c r="L300" i="1" s="1"/>
  <c r="K301" i="1"/>
  <c r="L301" i="1" s="1"/>
  <c r="K306" i="1"/>
  <c r="L306" i="1" s="1"/>
  <c r="K307" i="1"/>
  <c r="L307" i="1" s="1"/>
  <c r="K308" i="1"/>
  <c r="L308" i="1" s="1"/>
  <c r="K309" i="1"/>
  <c r="L309" i="1" s="1"/>
  <c r="K310" i="1"/>
  <c r="L310" i="1" s="1"/>
  <c r="K311" i="1"/>
  <c r="L311" i="1" s="1"/>
  <c r="K678" i="1"/>
  <c r="L678" i="1" s="1"/>
  <c r="K738" i="1"/>
  <c r="L738" i="1" s="1"/>
  <c r="K797" i="1"/>
  <c r="L797" i="1" s="1"/>
  <c r="K843" i="1"/>
  <c r="L843" i="1" s="1"/>
  <c r="K844" i="1"/>
  <c r="L844" i="1" s="1"/>
  <c r="K20" i="1"/>
  <c r="L20" i="1" s="1"/>
  <c r="K101" i="1"/>
  <c r="L101" i="1" s="1"/>
  <c r="K159" i="1"/>
  <c r="L159" i="1" s="1"/>
  <c r="K160" i="1"/>
  <c r="L160" i="1" s="1"/>
  <c r="K161" i="1"/>
  <c r="L161" i="1" s="1"/>
  <c r="K162" i="1"/>
  <c r="L162" i="1" s="1"/>
  <c r="K163" i="1"/>
  <c r="L163" i="1" s="1"/>
  <c r="K203" i="1"/>
  <c r="L203" i="1" s="1"/>
  <c r="K258" i="1"/>
  <c r="L258" i="1" s="1"/>
  <c r="K261" i="1"/>
  <c r="L261" i="1" s="1"/>
  <c r="K262" i="1"/>
  <c r="L262" i="1" s="1"/>
  <c r="K263" i="1"/>
  <c r="L263" i="1" s="1"/>
  <c r="K264" i="1"/>
  <c r="L264" i="1" s="1"/>
  <c r="K269" i="1"/>
  <c r="L269" i="1" s="1"/>
  <c r="K270" i="1"/>
  <c r="L270" i="1" s="1"/>
  <c r="K271" i="1"/>
  <c r="L271" i="1" s="1"/>
  <c r="K272" i="1"/>
  <c r="L272" i="1" s="1"/>
  <c r="K273" i="1"/>
  <c r="L273" i="1" s="1"/>
  <c r="K274" i="1"/>
  <c r="L274" i="1" s="1"/>
  <c r="K280" i="1"/>
  <c r="L280" i="1" s="1"/>
  <c r="K281" i="1"/>
  <c r="L281" i="1" s="1"/>
  <c r="K625" i="1"/>
  <c r="L625" i="1" s="1"/>
  <c r="K626" i="1"/>
  <c r="L626" i="1" s="1"/>
  <c r="K630" i="1"/>
  <c r="L630" i="1" s="1"/>
  <c r="K686" i="1"/>
  <c r="L686" i="1" s="1"/>
  <c r="K743" i="1"/>
  <c r="L743" i="1" s="1"/>
  <c r="K745" i="1"/>
  <c r="L745" i="1" s="1"/>
  <c r="K749" i="1"/>
  <c r="L749" i="1" s="1"/>
  <c r="K751" i="1"/>
  <c r="L751" i="1" s="1"/>
  <c r="K757" i="1"/>
  <c r="L757" i="1" s="1"/>
  <c r="K758" i="1"/>
  <c r="L758" i="1" s="1"/>
  <c r="K769" i="1"/>
  <c r="L769" i="1" s="1"/>
  <c r="K770" i="1"/>
  <c r="L770" i="1" s="1"/>
  <c r="K776" i="1"/>
  <c r="L776" i="1" s="1"/>
  <c r="K785" i="1"/>
  <c r="L785" i="1" s="1"/>
  <c r="K788" i="1"/>
  <c r="L788" i="1" s="1"/>
  <c r="K790" i="1"/>
  <c r="L790" i="1" s="1"/>
  <c r="K812" i="1"/>
  <c r="L812" i="1" s="1"/>
  <c r="K813" i="1"/>
  <c r="L813" i="1" s="1"/>
  <c r="K814" i="1"/>
  <c r="L814" i="1" s="1"/>
  <c r="K817" i="1"/>
  <c r="L817" i="1" s="1"/>
  <c r="K818" i="1"/>
  <c r="L818" i="1" s="1"/>
  <c r="K820" i="1"/>
  <c r="L820" i="1" s="1"/>
  <c r="K821" i="1"/>
  <c r="L821" i="1" s="1"/>
  <c r="K825" i="1"/>
  <c r="L825" i="1" s="1"/>
  <c r="K830" i="1"/>
  <c r="L830" i="1" s="1"/>
  <c r="K835" i="1"/>
  <c r="L835" i="1" s="1"/>
  <c r="K836" i="1"/>
  <c r="L836" i="1" s="1"/>
  <c r="K837" i="1"/>
  <c r="L837" i="1" s="1"/>
  <c r="K838" i="1"/>
  <c r="L838" i="1" s="1"/>
  <c r="K840" i="1"/>
  <c r="L840" i="1" s="1"/>
  <c r="K841" i="1"/>
  <c r="L841" i="1" s="1"/>
  <c r="K845" i="1"/>
  <c r="L845" i="1" s="1"/>
  <c r="K847" i="1"/>
  <c r="L847" i="1" s="1"/>
  <c r="K848" i="1"/>
  <c r="L848" i="1" s="1"/>
  <c r="K921" i="1"/>
  <c r="L921" i="1" s="1"/>
  <c r="K922" i="1"/>
  <c r="L922" i="1" s="1"/>
  <c r="K923" i="1"/>
  <c r="L923" i="1" s="1"/>
  <c r="K924" i="1"/>
  <c r="L924" i="1" s="1"/>
  <c r="K925" i="1"/>
  <c r="L925" i="1" s="1"/>
  <c r="K714" i="1"/>
  <c r="L714" i="1" s="1"/>
  <c r="K719" i="1"/>
  <c r="L719" i="1" s="1"/>
  <c r="K721" i="1"/>
  <c r="L721" i="1" s="1"/>
  <c r="K746" i="1"/>
  <c r="L746" i="1" s="1"/>
  <c r="K805" i="1"/>
  <c r="L805" i="1" s="1"/>
  <c r="K833" i="1"/>
  <c r="L833" i="1" s="1"/>
  <c r="K839" i="1"/>
  <c r="L839" i="1" s="1"/>
  <c r="K842" i="1"/>
  <c r="L842" i="1" s="1"/>
  <c r="K127" i="1"/>
  <c r="L127" i="1" s="1"/>
  <c r="K128" i="1"/>
  <c r="L128" i="1" s="1"/>
  <c r="K129" i="1"/>
  <c r="L129" i="1" s="1"/>
  <c r="K130" i="1"/>
  <c r="L130" i="1" s="1"/>
  <c r="K131" i="1"/>
  <c r="L131" i="1" s="1"/>
  <c r="K132" i="1"/>
  <c r="L132" i="1" s="1"/>
  <c r="K224" i="1"/>
  <c r="L224" i="1" s="1"/>
  <c r="K225" i="1"/>
  <c r="L225" i="1" s="1"/>
  <c r="K226" i="1"/>
  <c r="L226" i="1" s="1"/>
  <c r="K227" i="1"/>
  <c r="L227" i="1" s="1"/>
  <c r="K228" i="1"/>
  <c r="L228" i="1" s="1"/>
  <c r="K229" i="1"/>
  <c r="L229" i="1" s="1"/>
  <c r="K230" i="1"/>
  <c r="L230" i="1" s="1"/>
  <c r="K231" i="1"/>
  <c r="L231" i="1" s="1"/>
  <c r="K722" i="1"/>
  <c r="L722" i="1" s="1"/>
  <c r="K724" i="1"/>
  <c r="L724" i="1" s="1"/>
  <c r="K725" i="1"/>
  <c r="L725" i="1" s="1"/>
  <c r="K728" i="1"/>
  <c r="L728" i="1" s="1"/>
  <c r="K731" i="1"/>
  <c r="L731" i="1" s="1"/>
  <c r="K761" i="1"/>
  <c r="L761" i="1" s="1"/>
  <c r="K764" i="1"/>
  <c r="L764" i="1" s="1"/>
  <c r="K232" i="1"/>
  <c r="L232" i="1" s="1"/>
  <c r="K233" i="1"/>
  <c r="L233" i="1" s="1"/>
  <c r="K234" i="1"/>
  <c r="L234" i="1" s="1"/>
  <c r="K235" i="1"/>
  <c r="L235" i="1" s="1"/>
  <c r="K236" i="1"/>
  <c r="L236" i="1" s="1"/>
  <c r="K237" i="1"/>
  <c r="L237" i="1" s="1"/>
  <c r="K238" i="1"/>
  <c r="L238" i="1" s="1"/>
  <c r="K239" i="1"/>
  <c r="L239" i="1" s="1"/>
  <c r="K240" i="1"/>
  <c r="L240" i="1" s="1"/>
  <c r="K241" i="1"/>
  <c r="L241" i="1" s="1"/>
  <c r="K242" i="1"/>
  <c r="L242" i="1" s="1"/>
  <c r="K243" i="1"/>
  <c r="L243" i="1" s="1"/>
  <c r="K244" i="1"/>
  <c r="L244" i="1" s="1"/>
  <c r="K245" i="1"/>
  <c r="L245" i="1" s="1"/>
  <c r="K246" i="1"/>
  <c r="L246" i="1" s="1"/>
  <c r="K247" i="1"/>
  <c r="L247" i="1" s="1"/>
  <c r="K248" i="1"/>
  <c r="L248" i="1" s="1"/>
  <c r="K249" i="1"/>
  <c r="L249" i="1" s="1"/>
  <c r="K17" i="1"/>
  <c r="L17" i="1" s="1"/>
  <c r="K18" i="1"/>
  <c r="L18" i="1" s="1"/>
  <c r="K133" i="1"/>
  <c r="L133" i="1" s="1"/>
  <c r="K134" i="1"/>
  <c r="L134" i="1" s="1"/>
  <c r="K135" i="1"/>
  <c r="L135" i="1" s="1"/>
  <c r="K136" i="1"/>
  <c r="L136" i="1" s="1"/>
  <c r="K137" i="1"/>
  <c r="L137" i="1" s="1"/>
  <c r="K138" i="1"/>
  <c r="L138" i="1" s="1"/>
  <c r="K139" i="1"/>
  <c r="L139" i="1" s="1"/>
  <c r="K140" i="1"/>
  <c r="L140" i="1" s="1"/>
  <c r="K141" i="1"/>
  <c r="L141" i="1" s="1"/>
  <c r="K142" i="1"/>
  <c r="L142" i="1" s="1"/>
  <c r="K143" i="1"/>
  <c r="L143" i="1" s="1"/>
  <c r="K144" i="1"/>
  <c r="L144" i="1" s="1"/>
  <c r="K145" i="1"/>
  <c r="L145" i="1" s="1"/>
  <c r="K146" i="1"/>
  <c r="L146" i="1" s="1"/>
  <c r="K147" i="1"/>
  <c r="L147" i="1" s="1"/>
  <c r="K148" i="1"/>
  <c r="L148" i="1" s="1"/>
  <c r="K149" i="1"/>
  <c r="L149" i="1" s="1"/>
  <c r="K150" i="1"/>
  <c r="L150" i="1" s="1"/>
  <c r="K151" i="1"/>
  <c r="L151" i="1" s="1"/>
  <c r="K152" i="1"/>
  <c r="L152" i="1" s="1"/>
  <c r="K153" i="1"/>
  <c r="L153" i="1" s="1"/>
  <c r="K250" i="1"/>
  <c r="L250" i="1" s="1"/>
  <c r="K251" i="1"/>
  <c r="L251" i="1" s="1"/>
  <c r="K252" i="1"/>
  <c r="L252" i="1" s="1"/>
  <c r="K253" i="1"/>
  <c r="L253" i="1" s="1"/>
  <c r="K254" i="1"/>
  <c r="L254" i="1" s="1"/>
  <c r="K255" i="1"/>
  <c r="L255" i="1" s="1"/>
  <c r="K256" i="1"/>
  <c r="L256" i="1" s="1"/>
  <c r="K257" i="1"/>
  <c r="L257" i="1" s="1"/>
  <c r="K259" i="1"/>
  <c r="L259" i="1" s="1"/>
  <c r="K260" i="1"/>
  <c r="L260" i="1" s="1"/>
  <c r="K627" i="1"/>
  <c r="L627" i="1" s="1"/>
  <c r="K706" i="1"/>
  <c r="L706" i="1" s="1"/>
  <c r="K19" i="1"/>
  <c r="L19" i="1" s="1"/>
  <c r="K22" i="1"/>
  <c r="L22" i="1" s="1"/>
  <c r="K23" i="1"/>
  <c r="L23"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2" i="1"/>
  <c r="L102" i="1" s="1"/>
  <c r="K154" i="1"/>
  <c r="L154" i="1" s="1"/>
  <c r="K155" i="1"/>
  <c r="L155" i="1" s="1"/>
  <c r="K156" i="1"/>
  <c r="L156" i="1" s="1"/>
  <c r="K157" i="1"/>
  <c r="L157" i="1" s="1"/>
  <c r="K158" i="1"/>
  <c r="L158" i="1" s="1"/>
  <c r="K639" i="1"/>
  <c r="L639" i="1" s="1"/>
  <c r="K648" i="1"/>
  <c r="L648" i="1" s="1"/>
  <c r="K668" i="1"/>
  <c r="L668" i="1" s="1"/>
  <c r="K672" i="1"/>
  <c r="L672" i="1" s="1"/>
  <c r="K675" i="1"/>
  <c r="L675" i="1" s="1"/>
  <c r="K679" i="1"/>
  <c r="L679" i="1" s="1"/>
  <c r="K680" i="1"/>
  <c r="L680" i="1" s="1"/>
  <c r="K682" i="1"/>
  <c r="L682" i="1" s="1"/>
  <c r="K683" i="1"/>
  <c r="L683" i="1" s="1"/>
  <c r="K687" i="1"/>
  <c r="L687" i="1" s="1"/>
  <c r="K689" i="1"/>
  <c r="L689" i="1" s="1"/>
  <c r="K690" i="1"/>
  <c r="L690" i="1" s="1"/>
  <c r="K700" i="1"/>
  <c r="L700" i="1" s="1"/>
  <c r="K701" i="1"/>
  <c r="L701" i="1" s="1"/>
  <c r="K707" i="1"/>
  <c r="L707" i="1" s="1"/>
  <c r="K737" i="1"/>
  <c r="L737" i="1" s="1"/>
  <c r="K740" i="1"/>
  <c r="L740" i="1" s="1"/>
  <c r="K752" i="1"/>
  <c r="L752" i="1" s="1"/>
  <c r="K754" i="1"/>
  <c r="L754" i="1" s="1"/>
  <c r="K755" i="1"/>
  <c r="L755" i="1" s="1"/>
  <c r="K791" i="1"/>
  <c r="L791" i="1" s="1"/>
  <c r="K794" i="1"/>
  <c r="L794" i="1" s="1"/>
  <c r="K806" i="1"/>
  <c r="L806" i="1" s="1"/>
  <c r="K815" i="1"/>
  <c r="L815" i="1" s="1"/>
  <c r="K926" i="1"/>
  <c r="L926" i="1" s="1"/>
  <c r="K35" i="1"/>
  <c r="L35" i="1" s="1"/>
  <c r="K36" i="1"/>
  <c r="L36" i="1" s="1"/>
  <c r="K37" i="1"/>
  <c r="L37" i="1" s="1"/>
  <c r="K103" i="1"/>
  <c r="L103" i="1" s="1"/>
  <c r="K104" i="1"/>
  <c r="L104" i="1" s="1"/>
  <c r="K105" i="1"/>
  <c r="L105" i="1" s="1"/>
  <c r="K106" i="1"/>
  <c r="L106" i="1" s="1"/>
  <c r="K204" i="1"/>
  <c r="L204" i="1" s="1"/>
  <c r="K205" i="1"/>
  <c r="L205" i="1" s="1"/>
  <c r="K206" i="1"/>
  <c r="L206" i="1" s="1"/>
  <c r="K207" i="1"/>
  <c r="L207" i="1" s="1"/>
  <c r="K208" i="1"/>
  <c r="L208" i="1" s="1"/>
  <c r="K209" i="1"/>
  <c r="L209" i="1" s="1"/>
  <c r="K210" i="1"/>
  <c r="L210" i="1" s="1"/>
  <c r="K211" i="1"/>
  <c r="L211" i="1" s="1"/>
  <c r="K212" i="1"/>
  <c r="L212" i="1" s="1"/>
  <c r="K213" i="1"/>
  <c r="L213" i="1" s="1"/>
  <c r="K214" i="1"/>
  <c r="L214" i="1" s="1"/>
  <c r="K215" i="1"/>
  <c r="L215" i="1" s="1"/>
  <c r="K216" i="1"/>
  <c r="L216" i="1" s="1"/>
  <c r="K217" i="1"/>
  <c r="L217" i="1" s="1"/>
  <c r="K221" i="1"/>
  <c r="L221" i="1" s="1"/>
  <c r="K222" i="1"/>
  <c r="L222" i="1" s="1"/>
  <c r="K223" i="1"/>
  <c r="L223" i="1" s="1"/>
  <c r="K335" i="1"/>
  <c r="L335" i="1" s="1"/>
  <c r="K338" i="1"/>
  <c r="L338" i="1" s="1"/>
  <c r="K632" i="1"/>
  <c r="L632" i="1" s="1"/>
  <c r="K633" i="1"/>
  <c r="L633" i="1" s="1"/>
  <c r="K635" i="1"/>
  <c r="L635" i="1" s="1"/>
  <c r="K636" i="1"/>
  <c r="L636" i="1" s="1"/>
  <c r="K642" i="1"/>
  <c r="L642" i="1" s="1"/>
  <c r="K663" i="1"/>
  <c r="L663" i="1" s="1"/>
  <c r="K684" i="1"/>
  <c r="L684" i="1" s="1"/>
  <c r="K699" i="1"/>
  <c r="L699" i="1" s="1"/>
  <c r="K708" i="1"/>
  <c r="L708" i="1" s="1"/>
  <c r="K823" i="1"/>
  <c r="L823" i="1" s="1"/>
  <c r="K824" i="1"/>
  <c r="L824" i="1" s="1"/>
  <c r="K826" i="1"/>
  <c r="L826" i="1" s="1"/>
  <c r="K827" i="1"/>
  <c r="L827" i="1" s="1"/>
  <c r="K81" i="1"/>
  <c r="L81" i="1" s="1"/>
  <c r="K82" i="1"/>
  <c r="L82" i="1" s="1"/>
  <c r="K83" i="1"/>
  <c r="L83" i="1" s="1"/>
  <c r="K84" i="1"/>
  <c r="L84" i="1" s="1"/>
  <c r="K85" i="1"/>
  <c r="L85" i="1" s="1"/>
  <c r="K86" i="1"/>
  <c r="L86" i="1" s="1"/>
  <c r="K660" i="1"/>
  <c r="L660" i="1" s="1"/>
  <c r="K666" i="1"/>
  <c r="L666" i="1" s="1"/>
  <c r="K669" i="1"/>
  <c r="L669" i="1" s="1"/>
  <c r="K681" i="1"/>
  <c r="L681" i="1" s="1"/>
  <c r="K696" i="1"/>
  <c r="L696" i="1" s="1"/>
  <c r="K702" i="1"/>
  <c r="L702" i="1" s="1"/>
  <c r="H10" i="6"/>
  <c r="E10" i="6"/>
  <c r="L10" i="6"/>
  <c r="P10" i="6"/>
</calcChain>
</file>

<file path=xl/sharedStrings.xml><?xml version="1.0" encoding="utf-8"?>
<sst xmlns="http://schemas.openxmlformats.org/spreadsheetml/2006/main" count="4715" uniqueCount="1400">
  <si>
    <t>Name</t>
  </si>
  <si>
    <t>Father</t>
  </si>
  <si>
    <t>Gender</t>
  </si>
  <si>
    <t>Course</t>
  </si>
  <si>
    <t>Total Fee</t>
  </si>
  <si>
    <t>Deposit Fee</t>
  </si>
  <si>
    <t>State</t>
  </si>
  <si>
    <t>Jay Prakash</t>
  </si>
  <si>
    <t>Shashikant Dixit</t>
  </si>
  <si>
    <t>Male</t>
  </si>
  <si>
    <t>Madhya Pradesh</t>
  </si>
  <si>
    <t>Anoop Kumar</t>
  </si>
  <si>
    <t>Shripal</t>
  </si>
  <si>
    <t>Rajasthan</t>
  </si>
  <si>
    <t>Lareb Khan</t>
  </si>
  <si>
    <t>Nashim Ali</t>
  </si>
  <si>
    <t>West Bengal</t>
  </si>
  <si>
    <t>Pavan Pratap Singh</t>
  </si>
  <si>
    <t>Tribhuvan Lal</t>
  </si>
  <si>
    <t>Bihar</t>
  </si>
  <si>
    <t>Sahil Khan</t>
  </si>
  <si>
    <t>Gokul Prasad</t>
  </si>
  <si>
    <t>Chhattisgarh</t>
  </si>
  <si>
    <t>Shivam</t>
  </si>
  <si>
    <t>Devendar Singh</t>
  </si>
  <si>
    <t>Female</t>
  </si>
  <si>
    <t>Goa</t>
  </si>
  <si>
    <t>Bablu Kumar</t>
  </si>
  <si>
    <t>Bagish Kumar Mishra</t>
  </si>
  <si>
    <t>Gujarat</t>
  </si>
  <si>
    <t>Jakeel Khan</t>
  </si>
  <si>
    <t>Ram Lakhan</t>
  </si>
  <si>
    <t>Haryana</t>
  </si>
  <si>
    <t>Prachi Singh</t>
  </si>
  <si>
    <t>Brajnath Kashyap</t>
  </si>
  <si>
    <t>Himachal Pradesh</t>
  </si>
  <si>
    <t>Sandeep Kumar</t>
  </si>
  <si>
    <t>Ram Khelawan</t>
  </si>
  <si>
    <t>Jharkhand</t>
  </si>
  <si>
    <t>Abhishek Singh</t>
  </si>
  <si>
    <t>Vinod Kumar</t>
  </si>
  <si>
    <t>Pankaj Kumar</t>
  </si>
  <si>
    <t>Shaukat Ali</t>
  </si>
  <si>
    <t>Arjun Kumar Raj</t>
  </si>
  <si>
    <t>Shamshul Haq</t>
  </si>
  <si>
    <t>Mo. Kausen Raza</t>
  </si>
  <si>
    <t>Santosh Gautam</t>
  </si>
  <si>
    <t>Maharashtra</t>
  </si>
  <si>
    <t>Nand Lal</t>
  </si>
  <si>
    <t>Hetram</t>
  </si>
  <si>
    <t>Punjab</t>
  </si>
  <si>
    <t>Ashok Kumar</t>
  </si>
  <si>
    <t>Chandra Bhal</t>
  </si>
  <si>
    <t>Odisha</t>
  </si>
  <si>
    <t>Gayatri Devi</t>
  </si>
  <si>
    <t>Tahzeeb Khan</t>
  </si>
  <si>
    <t>Janardan Pal</t>
  </si>
  <si>
    <t>Radhey Shyam Maurya</t>
  </si>
  <si>
    <t>Apoorva Verma</t>
  </si>
  <si>
    <t>Anil Kumar Maurya</t>
  </si>
  <si>
    <t>Sanjay Kumar</t>
  </si>
  <si>
    <t>Jagdish Prasad Maurya</t>
  </si>
  <si>
    <t>Suneel Kumar</t>
  </si>
  <si>
    <t>Ram Murti</t>
  </si>
  <si>
    <t>Ajay Kumar</t>
  </si>
  <si>
    <t>Santosh Nishad</t>
  </si>
  <si>
    <t>Chandigarh</t>
  </si>
  <si>
    <t>Deepak Kumar</t>
  </si>
  <si>
    <t>Avdhesh Kumar Mishra</t>
  </si>
  <si>
    <t>Vineet Kumar</t>
  </si>
  <si>
    <t>Tejkaran</t>
  </si>
  <si>
    <t>Kamlesh</t>
  </si>
  <si>
    <t>Pradeep Kumar Awashti</t>
  </si>
  <si>
    <t>Suraj Kumar Tiwari</t>
  </si>
  <si>
    <t>Jay Prakash Chaurasiya</t>
  </si>
  <si>
    <t>Uttar Pradesh</t>
  </si>
  <si>
    <t>Umesh Kumar</t>
  </si>
  <si>
    <t>Ravendra Kumar</t>
  </si>
  <si>
    <t>Uttarakhand</t>
  </si>
  <si>
    <t>Pallavi Devi</t>
  </si>
  <si>
    <t>Rakesh Gupta</t>
  </si>
  <si>
    <t>Vikram</t>
  </si>
  <si>
    <t>Moh Arif</t>
  </si>
  <si>
    <t>Aman Jaiswal</t>
  </si>
  <si>
    <t>Azamuddeen</t>
  </si>
  <si>
    <t>Madhav Ram</t>
  </si>
  <si>
    <t>Jameer Ahmad</t>
  </si>
  <si>
    <t>Shamsuddin</t>
  </si>
  <si>
    <t>Jugul Kishor</t>
  </si>
  <si>
    <t>Delhi</t>
  </si>
  <si>
    <t>Shivani Pal</t>
  </si>
  <si>
    <t>Gur Dayal Singh</t>
  </si>
  <si>
    <t>Ravin Nigam</t>
  </si>
  <si>
    <t>Hariom Mishra</t>
  </si>
  <si>
    <t>Navneet</t>
  </si>
  <si>
    <t>Ram Naresh</t>
  </si>
  <si>
    <t>Shadab Ansari</t>
  </si>
  <si>
    <t>Ram Kishore Kashyap</t>
  </si>
  <si>
    <t>Manish Kumar</t>
  </si>
  <si>
    <t>Chhote Lal</t>
  </si>
  <si>
    <t>Mohammad Almas</t>
  </si>
  <si>
    <t>Prahlad Singh</t>
  </si>
  <si>
    <t>Roshni Devi</t>
  </si>
  <si>
    <t>Rajesh Kumar</t>
  </si>
  <si>
    <t>Akash Deep Singh</t>
  </si>
  <si>
    <t>Chandrika Prasad</t>
  </si>
  <si>
    <t>Suraj Kumar</t>
  </si>
  <si>
    <t>Ram Gopal Sony</t>
  </si>
  <si>
    <t>Irfan</t>
  </si>
  <si>
    <t>Ashraf Ali</t>
  </si>
  <si>
    <t>Abhishek</t>
  </si>
  <si>
    <t>Veerendra Kumar</t>
  </si>
  <si>
    <t>Dinesh Kumar</t>
  </si>
  <si>
    <t>Ram Asare</t>
  </si>
  <si>
    <t>Balveer Singh</t>
  </si>
  <si>
    <t>Sarvesh Kumar</t>
  </si>
  <si>
    <t>Arvesh Kumar</t>
  </si>
  <si>
    <t>Ramesh Kumar</t>
  </si>
  <si>
    <t>Jagtar Singh</t>
  </si>
  <si>
    <t>Ram Chandra</t>
  </si>
  <si>
    <t>Uttam Prakash Pandey</t>
  </si>
  <si>
    <t>Sujata Shendage</t>
  </si>
  <si>
    <t>Mo. Shareef</t>
  </si>
  <si>
    <t>Ramendra Kumar</t>
  </si>
  <si>
    <t>Birendra Kumar Pandey</t>
  </si>
  <si>
    <t>Jai Prakash</t>
  </si>
  <si>
    <t>Tanmay Ray</t>
  </si>
  <si>
    <t>Ram Gopal</t>
  </si>
  <si>
    <t>Rukhma Devi</t>
  </si>
  <si>
    <t>Radheshyam</t>
  </si>
  <si>
    <t>Manoj Kumar</t>
  </si>
  <si>
    <t>Saidul Hasan</t>
  </si>
  <si>
    <t>Riya Shrivastava</t>
  </si>
  <si>
    <t>Ram Niwas</t>
  </si>
  <si>
    <t>Satyam Tiwari</t>
  </si>
  <si>
    <t>Vikrama Rajbhar</t>
  </si>
  <si>
    <t>Ranjeet Kumar Raj</t>
  </si>
  <si>
    <t>Bachan Lal</t>
  </si>
  <si>
    <t>Vipin Mishra</t>
  </si>
  <si>
    <t>Bhairav Singh</t>
  </si>
  <si>
    <t>Kuldeep Kumar</t>
  </si>
  <si>
    <t>Ajay Baranwal</t>
  </si>
  <si>
    <t>Jyoti Yadav</t>
  </si>
  <si>
    <t>Mohammad Irfan</t>
  </si>
  <si>
    <t>Pranshu Mishra</t>
  </si>
  <si>
    <t>Ambika Shukla</t>
  </si>
  <si>
    <t>Vishnu</t>
  </si>
  <si>
    <t>Mahfooz Khan</t>
  </si>
  <si>
    <t>Mohit Nag</t>
  </si>
  <si>
    <t>Kamlesh Kumar</t>
  </si>
  <si>
    <t>Raghvendra Shukla</t>
  </si>
  <si>
    <t>Ramakant</t>
  </si>
  <si>
    <t>Vaibhav Awasthi</t>
  </si>
  <si>
    <t>Nausad Ali</t>
  </si>
  <si>
    <t>Akeel Khan</t>
  </si>
  <si>
    <t>Devraj</t>
  </si>
  <si>
    <t>Ayush Mishra</t>
  </si>
  <si>
    <t>Shivcharan</t>
  </si>
  <si>
    <t>Najis Bano</t>
  </si>
  <si>
    <t>Wahid Ali</t>
  </si>
  <si>
    <t>Firdaush Bari</t>
  </si>
  <si>
    <t>Himanshu Yadav</t>
  </si>
  <si>
    <t>Ram Shankar</t>
  </si>
  <si>
    <t>Shahnuma Bano</t>
  </si>
  <si>
    <t>Yogendra Prasad Yadav</t>
  </si>
  <si>
    <t>Ashwani Kumar Verma</t>
  </si>
  <si>
    <t>Rajesh Kumar Vishwakarma</t>
  </si>
  <si>
    <t>Shubham Kumar</t>
  </si>
  <si>
    <t>Jamuna Prasad</t>
  </si>
  <si>
    <t>Aviral Shukla</t>
  </si>
  <si>
    <t>Krishan Kumar</t>
  </si>
  <si>
    <t>Prince Chaurasiya</t>
  </si>
  <si>
    <t>Shravan Kumar</t>
  </si>
  <si>
    <t>Shivam Verma</t>
  </si>
  <si>
    <t>Rama Shankar</t>
  </si>
  <si>
    <t>Palak Devi</t>
  </si>
  <si>
    <t>Rakesh Mishra</t>
  </si>
  <si>
    <t>Saumya Verma</t>
  </si>
  <si>
    <t>Nazir Ahmad</t>
  </si>
  <si>
    <t>Vaibhav Gupta</t>
  </si>
  <si>
    <t>Gendan Lal</t>
  </si>
  <si>
    <t>Rajesh Gutpa</t>
  </si>
  <si>
    <t>Raj Bahadur</t>
  </si>
  <si>
    <t>Anshuman</t>
  </si>
  <si>
    <t>Mubarak Ali</t>
  </si>
  <si>
    <t>Arpit Shukla</t>
  </si>
  <si>
    <t>Brajesh Kumar</t>
  </si>
  <si>
    <t>Mayank Gupta</t>
  </si>
  <si>
    <t>Ravi Yadav</t>
  </si>
  <si>
    <t>Ashish Kumar</t>
  </si>
  <si>
    <t>Aatm Prakash</t>
  </si>
  <si>
    <t>Prince Mishra</t>
  </si>
  <si>
    <t>Jagdeesh Kumar</t>
  </si>
  <si>
    <t>Ravi Kant</t>
  </si>
  <si>
    <t>Ganga Ram Yadav</t>
  </si>
  <si>
    <t>Akash Kumar</t>
  </si>
  <si>
    <t>Bindra Prasad</t>
  </si>
  <si>
    <t>Neha Verma</t>
  </si>
  <si>
    <t>Santosh Kashyap</t>
  </si>
  <si>
    <t>Nujhat Khatoon</t>
  </si>
  <si>
    <t>Rajesh Kumr Verma</t>
  </si>
  <si>
    <t>Elma</t>
  </si>
  <si>
    <t>Ram Autar</t>
  </si>
  <si>
    <t>Vijay Kumar</t>
  </si>
  <si>
    <t>Jooli</t>
  </si>
  <si>
    <t>Ajay Mishra</t>
  </si>
  <si>
    <t>Muskan</t>
  </si>
  <si>
    <t>Gallar Prasad</t>
  </si>
  <si>
    <t>Zubaida Khatoon</t>
  </si>
  <si>
    <t>Sanjay Kumar Srivastava</t>
  </si>
  <si>
    <t>Anjali Singh</t>
  </si>
  <si>
    <t>Israr Khan</t>
  </si>
  <si>
    <t>Arpit Mishra</t>
  </si>
  <si>
    <t>Rekha Singh</t>
  </si>
  <si>
    <t>Mahadev Prasad</t>
  </si>
  <si>
    <t>Rubi Singh</t>
  </si>
  <si>
    <t>Ram Pal</t>
  </si>
  <si>
    <t>Lav Kumar</t>
  </si>
  <si>
    <t>Mohd Asib Khan</t>
  </si>
  <si>
    <t>Rais Khan</t>
  </si>
  <si>
    <t>Mohammad Yasir</t>
  </si>
  <si>
    <t>Akhtar Yar Khan</t>
  </si>
  <si>
    <t>Ravi Kumar</t>
  </si>
  <si>
    <t>Vivek Kumar Verma</t>
  </si>
  <si>
    <t>Uttam Kumar</t>
  </si>
  <si>
    <t>Azara Bano</t>
  </si>
  <si>
    <t>Om Narayan</t>
  </si>
  <si>
    <t>Mahira Begum</t>
  </si>
  <si>
    <t>Gyanendra Kumar Verma</t>
  </si>
  <si>
    <t>Rahnuma Anzum</t>
  </si>
  <si>
    <t>Raju Kashyap</t>
  </si>
  <si>
    <t>Nargish</t>
  </si>
  <si>
    <t>Guddu</t>
  </si>
  <si>
    <t>Vimal Dixit</t>
  </si>
  <si>
    <t>Moh Ahmad</t>
  </si>
  <si>
    <t>Kamal Ahmad</t>
  </si>
  <si>
    <t>Madari</t>
  </si>
  <si>
    <t>Sundar Lal</t>
  </si>
  <si>
    <t>Balak Ram</t>
  </si>
  <si>
    <t>Kailash Chandra Pal</t>
  </si>
  <si>
    <t>Ramchandra</t>
  </si>
  <si>
    <t>Babu Ram</t>
  </si>
  <si>
    <t>Ram Chandra Yadav</t>
  </si>
  <si>
    <t>Suraj Prasad</t>
  </si>
  <si>
    <t>Vipin Kumar Verma</t>
  </si>
  <si>
    <t>Jameel Hasan</t>
  </si>
  <si>
    <t>Heera Lal</t>
  </si>
  <si>
    <t>Ritesh Kumar Gupta</t>
  </si>
  <si>
    <t>Shailendra Kumar</t>
  </si>
  <si>
    <t>Jagmohan Verma</t>
  </si>
  <si>
    <t>Shailesh Kumar Mishra</t>
  </si>
  <si>
    <t>Moh Ashfaq</t>
  </si>
  <si>
    <t>Km Gayatri Srivastava</t>
  </si>
  <si>
    <t>Rakesh Kumar</t>
  </si>
  <si>
    <t>Shreya Singh</t>
  </si>
  <si>
    <t>Arvind</t>
  </si>
  <si>
    <t>Dipendra Kumar</t>
  </si>
  <si>
    <t>Ashok</t>
  </si>
  <si>
    <t>Raju</t>
  </si>
  <si>
    <t>Suneel Verma</t>
  </si>
  <si>
    <t>Mohit Mishra</t>
  </si>
  <si>
    <t>Ramu Mishra</t>
  </si>
  <si>
    <t>Sonu Raj</t>
  </si>
  <si>
    <t>Rakesh Chandra Mishra</t>
  </si>
  <si>
    <t>Taukeel Ali</t>
  </si>
  <si>
    <t>Ajay Raj</t>
  </si>
  <si>
    <t>Sarvan Kumar</t>
  </si>
  <si>
    <t>Atul Pandey</t>
  </si>
  <si>
    <t>Suresh Kumar</t>
  </si>
  <si>
    <t>Jagdev Prasad</t>
  </si>
  <si>
    <t>Aniya Singh Bhadauriya</t>
  </si>
  <si>
    <t>Arvind Kuamr</t>
  </si>
  <si>
    <t>Sachin</t>
  </si>
  <si>
    <t>Ajay</t>
  </si>
  <si>
    <t>Manpreet Singh</t>
  </si>
  <si>
    <t>Lekh Ram</t>
  </si>
  <si>
    <t>Ritesh Trivedi</t>
  </si>
  <si>
    <t>Vivek Kumar</t>
  </si>
  <si>
    <t>Om Prakash</t>
  </si>
  <si>
    <t>Ankur Pal</t>
  </si>
  <si>
    <t>Puttu Lal</t>
  </si>
  <si>
    <t>Israil</t>
  </si>
  <si>
    <t>Shri Rajneesh Kumar</t>
  </si>
  <si>
    <t>Usman Ali</t>
  </si>
  <si>
    <t>Alok Ray Dhangar</t>
  </si>
  <si>
    <t>Abdul Gani Khan</t>
  </si>
  <si>
    <t>Santosh Kumar Raj</t>
  </si>
  <si>
    <t>Rati Ram</t>
  </si>
  <si>
    <t>Arvind Yadav</t>
  </si>
  <si>
    <t>Raj Kamal</t>
  </si>
  <si>
    <t>Dipesh Singh Manar</t>
  </si>
  <si>
    <t>Ram Naresh Chaurasia</t>
  </si>
  <si>
    <t>Mustakeem</t>
  </si>
  <si>
    <t>Monsoor Ali</t>
  </si>
  <si>
    <t>Dheeraj Kumar</t>
  </si>
  <si>
    <t>Maiku Lal</t>
  </si>
  <si>
    <t>Gulshan Yadav</t>
  </si>
  <si>
    <t>Arjun Lal</t>
  </si>
  <si>
    <t>Manjeet Singh</t>
  </si>
  <si>
    <t>Devendra Kumar</t>
  </si>
  <si>
    <t>Ankit Kumar</t>
  </si>
  <si>
    <t>Deendayal Dixit</t>
  </si>
  <si>
    <t>Brij Kishor Gaur</t>
  </si>
  <si>
    <t>Anoop Mishra</t>
  </si>
  <si>
    <t>Rajesh Chandra Srivastava</t>
  </si>
  <si>
    <t>Ehsan Ali</t>
  </si>
  <si>
    <t>Mahesh</t>
  </si>
  <si>
    <t>Aadesh Kumar</t>
  </si>
  <si>
    <t>Aditya Chaudhary</t>
  </si>
  <si>
    <t>Shyam Mohan Singh</t>
  </si>
  <si>
    <t>Udit Verma</t>
  </si>
  <si>
    <t>Mahabeer</t>
  </si>
  <si>
    <t>Devansh Singh</t>
  </si>
  <si>
    <t>Hari Prasad Dixit</t>
  </si>
  <si>
    <t>Ganesh Rana</t>
  </si>
  <si>
    <t>Sanjay Kumar Mishra</t>
  </si>
  <si>
    <t>Bablu Maurya</t>
  </si>
  <si>
    <t>Ram Sevak</t>
  </si>
  <si>
    <t>Suchee Devi</t>
  </si>
  <si>
    <t>Mohd Sultan Ganie</t>
  </si>
  <si>
    <t>Pallvi Verma</t>
  </si>
  <si>
    <t>Samsuddin</t>
  </si>
  <si>
    <t>Shubham Giri</t>
  </si>
  <si>
    <t>Taj Khan</t>
  </si>
  <si>
    <t>Manmath Harangule</t>
  </si>
  <si>
    <t>Durgesh Dixit</t>
  </si>
  <si>
    <t>Ankur Singh</t>
  </si>
  <si>
    <t>Naval Kishor Gautam</t>
  </si>
  <si>
    <t>Furkan Ansari</t>
  </si>
  <si>
    <t>Shubham Singh</t>
  </si>
  <si>
    <t>Prmod Kumar</t>
  </si>
  <si>
    <t>Adarsh Kumar</t>
  </si>
  <si>
    <t>Khushi Mishra</t>
  </si>
  <si>
    <t>Radhey Shyam</t>
  </si>
  <si>
    <t>Kuldeep Kevat</t>
  </si>
  <si>
    <t>Akhilesh Kumar</t>
  </si>
  <si>
    <t>Abhishek Verma</t>
  </si>
  <si>
    <t>Jaswant Kumar</t>
  </si>
  <si>
    <t>Nida Khatoon</t>
  </si>
  <si>
    <t>Harishchandra</t>
  </si>
  <si>
    <t>Zufisha Irfan</t>
  </si>
  <si>
    <t>Mahesh Singh</t>
  </si>
  <si>
    <t>Anuj Maurya</t>
  </si>
  <si>
    <t>Surendra Kumar</t>
  </si>
  <si>
    <t>Arman Ahmad</t>
  </si>
  <si>
    <t>Shyam Lal</t>
  </si>
  <si>
    <t>Tayyaba Irfan</t>
  </si>
  <si>
    <t>Muskan Mansuri</t>
  </si>
  <si>
    <t>Ajay Prakash Mishra</t>
  </si>
  <si>
    <t>Pradeep Kumar Verma</t>
  </si>
  <si>
    <t>Sarvesh Kumar Verma</t>
  </si>
  <si>
    <t>Ritika Shukla</t>
  </si>
  <si>
    <t>Akanksha Awasthi</t>
  </si>
  <si>
    <t>Anjali</t>
  </si>
  <si>
    <t>Shyam Kumar</t>
  </si>
  <si>
    <t>Ramsoch Yadav</t>
  </si>
  <si>
    <t>Mohd Hassan</t>
  </si>
  <si>
    <t>Devendra Verma</t>
  </si>
  <si>
    <t>Rudra Pratap Singh</t>
  </si>
  <si>
    <t>Sharda Prasad</t>
  </si>
  <si>
    <t>Saranjeet Kaur</t>
  </si>
  <si>
    <t>Jawahar Lal Rana</t>
  </si>
  <si>
    <t>Geeta Raj</t>
  </si>
  <si>
    <t>Lallan Swaroop Dixit</t>
  </si>
  <si>
    <t>Shivansh Verma</t>
  </si>
  <si>
    <t>Jatinder Singh</t>
  </si>
  <si>
    <t>Surendra Shukla</t>
  </si>
  <si>
    <t>Braj Lal</t>
  </si>
  <si>
    <t>Hukum Chand</t>
  </si>
  <si>
    <t>Ibrahim Ali</t>
  </si>
  <si>
    <t>Ishika Gautam</t>
  </si>
  <si>
    <t>Umashankar</t>
  </si>
  <si>
    <t>Vikash Kumar</t>
  </si>
  <si>
    <t>Surjeet Singh</t>
  </si>
  <si>
    <t>Prakash Maurya</t>
  </si>
  <si>
    <t>Reetesh Verma</t>
  </si>
  <si>
    <t>Manoj Singh</t>
  </si>
  <si>
    <t>Vipanesh Kumar</t>
  </si>
  <si>
    <t>Shatrohan Lal</t>
  </si>
  <si>
    <t>Akshdeep Singh</t>
  </si>
  <si>
    <t>Yadunath Singh</t>
  </si>
  <si>
    <t>Mahammad Maulana Kausar</t>
  </si>
  <si>
    <t>Umesh</t>
  </si>
  <si>
    <t>Jay Prkash</t>
  </si>
  <si>
    <t>Adesh Gupta</t>
  </si>
  <si>
    <t>Shiv Om Shukla</t>
  </si>
  <si>
    <t>Pooja Devi</t>
  </si>
  <si>
    <t>Rajkishor</t>
  </si>
  <si>
    <t>Ranjna Gautam</t>
  </si>
  <si>
    <t>Chamru</t>
  </si>
  <si>
    <t>Ayushi Singh</t>
  </si>
  <si>
    <t>Nidhi Pal</t>
  </si>
  <si>
    <t>Umesh Bajpai</t>
  </si>
  <si>
    <t>Palak Verma</t>
  </si>
  <si>
    <t>Dara Singh</t>
  </si>
  <si>
    <t>Abhay Pratap Singh</t>
  </si>
  <si>
    <t>Dileep Kumar</t>
  </si>
  <si>
    <t>Anuj Kuamr</t>
  </si>
  <si>
    <t>Atul Kumar Verma</t>
  </si>
  <si>
    <t>Nitin Kumar Verma</t>
  </si>
  <si>
    <t>Gurpreet Singh</t>
  </si>
  <si>
    <t>Alok Srivastava</t>
  </si>
  <si>
    <t>Bhavi Yadav</t>
  </si>
  <si>
    <t>Santosh Kumar Shukla</t>
  </si>
  <si>
    <t>Palak Jaiswal</t>
  </si>
  <si>
    <t>Mahendra Kumar Awasthi</t>
  </si>
  <si>
    <t>Ankita Gupta</t>
  </si>
  <si>
    <t>Naushad</t>
  </si>
  <si>
    <t>Namita Verma</t>
  </si>
  <si>
    <t>Sandhya Verma</t>
  </si>
  <si>
    <t>Anil Kumar</t>
  </si>
  <si>
    <t>Prashant</t>
  </si>
  <si>
    <t>Rakesh Rastogi</t>
  </si>
  <si>
    <t>Satish Chandra Saxena</t>
  </si>
  <si>
    <t>Savita Devi Awasthi</t>
  </si>
  <si>
    <t>Kalamuddeen</t>
  </si>
  <si>
    <t>Mohd Ayaz Ansari</t>
  </si>
  <si>
    <t>Santosh Kumar Gutpa</t>
  </si>
  <si>
    <t>Rahul Kumar</t>
  </si>
  <si>
    <t>Ram Lotan Kashyap</t>
  </si>
  <si>
    <t>Suman</t>
  </si>
  <si>
    <t>Guru Sharan</t>
  </si>
  <si>
    <t>Varish Ali</t>
  </si>
  <si>
    <t>Sakshi Gupta</t>
  </si>
  <si>
    <t>Virat Gupta</t>
  </si>
  <si>
    <t>Sanjay Tiwari</t>
  </si>
  <si>
    <t>Aman Bhaskar</t>
  </si>
  <si>
    <t>Riyazuddin Ansari</t>
  </si>
  <si>
    <t>Ansh Baranwal</t>
  </si>
  <si>
    <t>Ram Laxmi Rana</t>
  </si>
  <si>
    <t>Avanish Kumar</t>
  </si>
  <si>
    <t>Deepu</t>
  </si>
  <si>
    <t>Deepak Shukla</t>
  </si>
  <si>
    <t>Saurabh Shukla</t>
  </si>
  <si>
    <t>Sonam</t>
  </si>
  <si>
    <t>Kanhaiya Lal Bajpai</t>
  </si>
  <si>
    <t>Ashwani Kumar Mourya</t>
  </si>
  <si>
    <t>Gyenendra Kumar</t>
  </si>
  <si>
    <t>Priyanka</t>
  </si>
  <si>
    <t>Neeraj Kumar Gupta</t>
  </si>
  <si>
    <t>Saumya Shukla</t>
  </si>
  <si>
    <t>Debendra Nath Swain</t>
  </si>
  <si>
    <t>Chand Babu</t>
  </si>
  <si>
    <t>Raj Kumar</t>
  </si>
  <si>
    <t>Kajoli Devi</t>
  </si>
  <si>
    <t>Gyanendra Kumar Shukla</t>
  </si>
  <si>
    <t>Manshi Devi</t>
  </si>
  <si>
    <t>Sandeep Singh</t>
  </si>
  <si>
    <t>Aftab Ahmad</t>
  </si>
  <si>
    <t>Manoj Kumar Awasthi</t>
  </si>
  <si>
    <t>Vipin Singh Bhargav</t>
  </si>
  <si>
    <t>Tauleram</t>
  </si>
  <si>
    <t>Vishwa Pratap Singh</t>
  </si>
  <si>
    <t>Chunnu</t>
  </si>
  <si>
    <t>Satish Kumar</t>
  </si>
  <si>
    <t>Nateesh</t>
  </si>
  <si>
    <t>Saurabh Kumar</t>
  </si>
  <si>
    <t>Vijay Kumar Sharma</t>
  </si>
  <si>
    <t>Divyanshi</t>
  </si>
  <si>
    <t>Kiran</t>
  </si>
  <si>
    <t>Vinod Kuamr</t>
  </si>
  <si>
    <t>Shiva Trivedi</t>
  </si>
  <si>
    <t>Pappu Gupta</t>
  </si>
  <si>
    <t>Anita</t>
  </si>
  <si>
    <t>Kajal</t>
  </si>
  <si>
    <t>Mohd Irfan</t>
  </si>
  <si>
    <t>Rishab Srivastav</t>
  </si>
  <si>
    <t>Harshit Kumar</t>
  </si>
  <si>
    <t>Jay Shankar Prasad</t>
  </si>
  <si>
    <t>Kuldeep Kumar Verma</t>
  </si>
  <si>
    <t>Ram Kishore</t>
  </si>
  <si>
    <t>Shubham Kumar Verma</t>
  </si>
  <si>
    <t>Munna Lal Rathore</t>
  </si>
  <si>
    <t>Jitendra Yadav</t>
  </si>
  <si>
    <t>Uma Shankar Gautam</t>
  </si>
  <si>
    <t>Navneet Kumar</t>
  </si>
  <si>
    <t>Shivkesh Vishwkarma</t>
  </si>
  <si>
    <t>Sobaran Lal</t>
  </si>
  <si>
    <t>Akshat Pandey</t>
  </si>
  <si>
    <t>Azad Ali</t>
  </si>
  <si>
    <t>Harshit Kumar Mishra</t>
  </si>
  <si>
    <t>Vinay Kumar</t>
  </si>
  <si>
    <t>Raheesh Ahmad</t>
  </si>
  <si>
    <t>Ajitesh Verma</t>
  </si>
  <si>
    <t>Aniket Verma</t>
  </si>
  <si>
    <t>Putan</t>
  </si>
  <si>
    <t>Awanish Kumar</t>
  </si>
  <si>
    <t>Triloki Prasad</t>
  </si>
  <si>
    <t>Rajat Gupta</t>
  </si>
  <si>
    <t>Ram Prasad</t>
  </si>
  <si>
    <t>Naveen Kumar</t>
  </si>
  <si>
    <t>Lal Bahadur</t>
  </si>
  <si>
    <t>Aviral Mishra</t>
  </si>
  <si>
    <t>Anil Patel</t>
  </si>
  <si>
    <t>Nitya Verma</t>
  </si>
  <si>
    <t>Vinod Saxena</t>
  </si>
  <si>
    <t>Abhishek Gupta</t>
  </si>
  <si>
    <t>Rahmat Ali</t>
  </si>
  <si>
    <t>Arisha Hasan</t>
  </si>
  <si>
    <t>Sushil Kumar Gupta</t>
  </si>
  <si>
    <t>Vikas Kumar</t>
  </si>
  <si>
    <t>Amit Kumar</t>
  </si>
  <si>
    <t>Zaib Singh</t>
  </si>
  <si>
    <t>Shivshant Kumar</t>
  </si>
  <si>
    <t>Yogesh Kumar</t>
  </si>
  <si>
    <t>Anirudh</t>
  </si>
  <si>
    <t>Anurag Ratn</t>
  </si>
  <si>
    <t>Baijnath</t>
  </si>
  <si>
    <t>Krishna Raj Bhargava</t>
  </si>
  <si>
    <t>Susheel Kumar Gupta</t>
  </si>
  <si>
    <t>Nishant Singh</t>
  </si>
  <si>
    <t>Shivpujan Verma</t>
  </si>
  <si>
    <t>Ishant Patel</t>
  </si>
  <si>
    <t>Achchhe Lal</t>
  </si>
  <si>
    <t>Ishu Mishra</t>
  </si>
  <si>
    <t>Suraj Shukla</t>
  </si>
  <si>
    <t>Mantasha</t>
  </si>
  <si>
    <t>Maheen Babu Shukla</t>
  </si>
  <si>
    <t>Naincy Rajpoot</t>
  </si>
  <si>
    <t>Kallu Ram</t>
  </si>
  <si>
    <t>Parul Rajput</t>
  </si>
  <si>
    <t>Roop Narayan</t>
  </si>
  <si>
    <t>Mamata</t>
  </si>
  <si>
    <t>Somprakash</t>
  </si>
  <si>
    <t>Pushpak Chandra</t>
  </si>
  <si>
    <t>Ramesh</t>
  </si>
  <si>
    <t>Savita</t>
  </si>
  <si>
    <t>Maheshwar Dubey</t>
  </si>
  <si>
    <t>Divya Gautam</t>
  </si>
  <si>
    <t>Kamlesh Gupta</t>
  </si>
  <si>
    <t>Parul Maurya</t>
  </si>
  <si>
    <t>Sneha Shukla</t>
  </si>
  <si>
    <t>Jagatpal Gope</t>
  </si>
  <si>
    <t>Shivam Gupta</t>
  </si>
  <si>
    <t>Tirath Singh</t>
  </si>
  <si>
    <t>Shivansh Kumar</t>
  </si>
  <si>
    <t>Jaspal Singh</t>
  </si>
  <si>
    <t>Shreya Tiwari</t>
  </si>
  <si>
    <t>Ajaypal Singh</t>
  </si>
  <si>
    <t>Km Nirjala Singh</t>
  </si>
  <si>
    <t>Devendra Singh Yadav</t>
  </si>
  <si>
    <t>Sadhna Rastogi</t>
  </si>
  <si>
    <t>Manish Kumar Katiyar</t>
  </si>
  <si>
    <t>Ram Prakash Verma</t>
  </si>
  <si>
    <t>Prateek Shukla</t>
  </si>
  <si>
    <t>Mohd Umar</t>
  </si>
  <si>
    <t>Anurag Bhargav</t>
  </si>
  <si>
    <t>Ram Lal Chakrawarti</t>
  </si>
  <si>
    <t>Azhan Khan</t>
  </si>
  <si>
    <t>Krishn Kumar</t>
  </si>
  <si>
    <t>Sudheer Kumar Verma</t>
  </si>
  <si>
    <t>Mahendra Kumar Lahari</t>
  </si>
  <si>
    <t>Harish Kumar</t>
  </si>
  <si>
    <t>Keshav Ram Maurya</t>
  </si>
  <si>
    <t>Ishu Maurya</t>
  </si>
  <si>
    <t>Jagdeesh Prasad</t>
  </si>
  <si>
    <t>Neha Tiwari</t>
  </si>
  <si>
    <t>Lakshmi Devi</t>
  </si>
  <si>
    <t>Uma Shankar Mourya</t>
  </si>
  <si>
    <t>Shabnam</t>
  </si>
  <si>
    <t>Fekan Singh</t>
  </si>
  <si>
    <t>Sunil Kumar</t>
  </si>
  <si>
    <t>Hari Shankar</t>
  </si>
  <si>
    <t>Kaushlendra</t>
  </si>
  <si>
    <t>Shubham Mishra</t>
  </si>
  <si>
    <t>Anand Kumar Mishra</t>
  </si>
  <si>
    <t>Ashish Verma</t>
  </si>
  <si>
    <t>Pooja Gupta</t>
  </si>
  <si>
    <t>Rajendra Singh Tomar</t>
  </si>
  <si>
    <t>Uday Pratap</t>
  </si>
  <si>
    <t>Chhedi Lal</t>
  </si>
  <si>
    <t>Gaytri Negi</t>
  </si>
  <si>
    <t>Dhirendra Kumar</t>
  </si>
  <si>
    <t>Sarita Devi</t>
  </si>
  <si>
    <t>Ramjan</t>
  </si>
  <si>
    <t>Shubham Vishwkarma</t>
  </si>
  <si>
    <t>Sunil Kumar Sharma</t>
  </si>
  <si>
    <t>Anurag Kumar</t>
  </si>
  <si>
    <t>Satyendra Yadav</t>
  </si>
  <si>
    <t>Arpit Kumar</t>
  </si>
  <si>
    <t>Ram Harish</t>
  </si>
  <si>
    <t>Arpit Raj</t>
  </si>
  <si>
    <t>Braj Kishor</t>
  </si>
  <si>
    <t>Amalesh Mishra</t>
  </si>
  <si>
    <t>Kanhya Mishra</t>
  </si>
  <si>
    <t>Holi</t>
  </si>
  <si>
    <t>Prashant Kumar Dixit</t>
  </si>
  <si>
    <t>Sachin Awasthi</t>
  </si>
  <si>
    <t>Vipin Kumar</t>
  </si>
  <si>
    <t>Vishal Mishra</t>
  </si>
  <si>
    <t>Ajmat Ali</t>
  </si>
  <si>
    <t>Deshraj Pal</t>
  </si>
  <si>
    <t>Manoj Awasthi</t>
  </si>
  <si>
    <t>Gaurav Singh</t>
  </si>
  <si>
    <t>Sabir Ali</t>
  </si>
  <si>
    <t>Netram</t>
  </si>
  <si>
    <t>Dharmendra Shukla</t>
  </si>
  <si>
    <t>Shobhit Kumar</t>
  </si>
  <si>
    <t>Dalveer Singh</t>
  </si>
  <si>
    <t>Rajendra Kumar Saini</t>
  </si>
  <si>
    <t>Upender Yadav</t>
  </si>
  <si>
    <t>Ved Prakash</t>
  </si>
  <si>
    <t>Anushree</t>
  </si>
  <si>
    <t>Kapatan Babu Mishra</t>
  </si>
  <si>
    <t>Lekhank Kumar</t>
  </si>
  <si>
    <t>Salik Ram</t>
  </si>
  <si>
    <t>Moneesh</t>
  </si>
  <si>
    <t>Nawab Ali</t>
  </si>
  <si>
    <t>Yoonish Ali</t>
  </si>
  <si>
    <t>Rajesh Raj</t>
  </si>
  <si>
    <t>Shubham</t>
  </si>
  <si>
    <t>Bimal Mandal</t>
  </si>
  <si>
    <t>Shubhranshu Kumar</t>
  </si>
  <si>
    <t>Bisheshwar Ahir</t>
  </si>
  <si>
    <t>Somendra Kumar</t>
  </si>
  <si>
    <t>Virendra Kumar</t>
  </si>
  <si>
    <t>Ganesh Sahani</t>
  </si>
  <si>
    <t>Akhilesh Yadav</t>
  </si>
  <si>
    <t>Ansh Srivastava</t>
  </si>
  <si>
    <t>Ram Kumar Srivastava</t>
  </si>
  <si>
    <t>Ashutosh Kumar</t>
  </si>
  <si>
    <t>Pankaj Shukla</t>
  </si>
  <si>
    <t>Kaif Ansari</t>
  </si>
  <si>
    <t>Jaypal Maurya</t>
  </si>
  <si>
    <t>Lalita Devi</t>
  </si>
  <si>
    <t>Ramvilas</t>
  </si>
  <si>
    <t>Mohd Arman</t>
  </si>
  <si>
    <t>Basant</t>
  </si>
  <si>
    <t>Nikhil Verma</t>
  </si>
  <si>
    <t>Ram Kishor</t>
  </si>
  <si>
    <t>Sameer Ahmad</t>
  </si>
  <si>
    <t>Saniya Bano</t>
  </si>
  <si>
    <t>Nadeem Akhtar Khan</t>
  </si>
  <si>
    <t>Archana Gupta</t>
  </si>
  <si>
    <t>Lavkush Rastogi</t>
  </si>
  <si>
    <t>Arvind Kumar</t>
  </si>
  <si>
    <t>Sunil Kumar Verma</t>
  </si>
  <si>
    <t>Vikas Agarwal</t>
  </si>
  <si>
    <t>Gagan Singh</t>
  </si>
  <si>
    <t>Brijendra Shankar Awasthi</t>
  </si>
  <si>
    <t>Komal Singh</t>
  </si>
  <si>
    <t>Amarjeet</t>
  </si>
  <si>
    <t>Pooja Kashyap</t>
  </si>
  <si>
    <t>Ramesh Chandra</t>
  </si>
  <si>
    <t>Krishna Shukla</t>
  </si>
  <si>
    <t>Ram Murti Gupta</t>
  </si>
  <si>
    <t>Mani Prakash Dixit</t>
  </si>
  <si>
    <t>Pramod Kumar</t>
  </si>
  <si>
    <t>Saty Narayan</t>
  </si>
  <si>
    <t>Nishant Shukla</t>
  </si>
  <si>
    <t>Surendra Kumar Verma</t>
  </si>
  <si>
    <t>Shalu Verma</t>
  </si>
  <si>
    <t>Nagendra Pal</t>
  </si>
  <si>
    <t>Shitesh Bajpai</t>
  </si>
  <si>
    <t>Arvind Giri</t>
  </si>
  <si>
    <t>Aman Mishra</t>
  </si>
  <si>
    <t>Mansi Rastogi</t>
  </si>
  <si>
    <t>Sanjay Raj Bhargava</t>
  </si>
  <si>
    <t>Sanjeet Kumar Yadav</t>
  </si>
  <si>
    <t>Arti Mishra</t>
  </si>
  <si>
    <t>Baburam</t>
  </si>
  <si>
    <t>Mohd Rehan</t>
  </si>
  <si>
    <t>Narendra Mishra</t>
  </si>
  <si>
    <t>Shubham Tiwari</t>
  </si>
  <si>
    <t>Albert Silveira</t>
  </si>
  <si>
    <t>Manju Verma</t>
  </si>
  <si>
    <t>Dinesh Kumar Gupta</t>
  </si>
  <si>
    <t>Pintu Singh</t>
  </si>
  <si>
    <t>Aatm Prakash Maurya</t>
  </si>
  <si>
    <t>Rammurti Singh</t>
  </si>
  <si>
    <t>Lavedeep Singh</t>
  </si>
  <si>
    <t>Prakash</t>
  </si>
  <si>
    <t>Rajendra Singh</t>
  </si>
  <si>
    <t>Mahak Saxena</t>
  </si>
  <si>
    <t>Jayram</t>
  </si>
  <si>
    <t>Priya Katiyar</t>
  </si>
  <si>
    <t>Shiva Verma</t>
  </si>
  <si>
    <t>Cancel</t>
  </si>
  <si>
    <t>Abhinav Verma</t>
  </si>
  <si>
    <t>Budhai</t>
  </si>
  <si>
    <t>Deepak Kumar Verma</t>
  </si>
  <si>
    <t>Afjal</t>
  </si>
  <si>
    <t>Sajal Dixit</t>
  </si>
  <si>
    <t>Abhinay Mishra</t>
  </si>
  <si>
    <t>Vijay Pal Singh</t>
  </si>
  <si>
    <t>Krisna Gupta</t>
  </si>
  <si>
    <t>Saurabh Kumar Awasthi</t>
  </si>
  <si>
    <t>Prem Narayan Raj</t>
  </si>
  <si>
    <t>Akash</t>
  </si>
  <si>
    <t>Anand Mohan</t>
  </si>
  <si>
    <t>Harish Gupta</t>
  </si>
  <si>
    <t>Rajendra Prashad</t>
  </si>
  <si>
    <t>Aman Verma</t>
  </si>
  <si>
    <t>Ramkailash</t>
  </si>
  <si>
    <t>Mohd Ovesh</t>
  </si>
  <si>
    <t>Akhilesh Kumar Dixit</t>
  </si>
  <si>
    <t>Yuvraj Bhargav</t>
  </si>
  <si>
    <t>Avdesh Kumar</t>
  </si>
  <si>
    <t>Avdhesh Kumar</t>
  </si>
  <si>
    <t>Ayan Khan</t>
  </si>
  <si>
    <t>Mohammad Rasheed</t>
  </si>
  <si>
    <t>Ram Nivas</t>
  </si>
  <si>
    <t>Ram Kumar Awasthi</t>
  </si>
  <si>
    <t>Ankesh Kumar</t>
  </si>
  <si>
    <t>Anuj Kumar</t>
  </si>
  <si>
    <t>Nand Ram Tyagi</t>
  </si>
  <si>
    <t>Neha Kumari</t>
  </si>
  <si>
    <t>Ram Naresh Yadav</t>
  </si>
  <si>
    <t>Reena</t>
  </si>
  <si>
    <t>Bahori Lal</t>
  </si>
  <si>
    <t>Shainky</t>
  </si>
  <si>
    <t>Vibhooti Singh</t>
  </si>
  <si>
    <t>Vijay Bahadur Singh Chauhan</t>
  </si>
  <si>
    <t>Akshat Singh Tomar</t>
  </si>
  <si>
    <t>Rajveer Kashyap</t>
  </si>
  <si>
    <t>Sushil Rastogi</t>
  </si>
  <si>
    <t>Sanjeev Kumar Verma</t>
  </si>
  <si>
    <t>Altaf</t>
  </si>
  <si>
    <t>Kajal Devi</t>
  </si>
  <si>
    <t>Vasim Ahmad</t>
  </si>
  <si>
    <t>Shivani Devi</t>
  </si>
  <si>
    <t>Md Rizwan</t>
  </si>
  <si>
    <t>Adarsh Verma</t>
  </si>
  <si>
    <t>Sumit Shukla</t>
  </si>
  <si>
    <t>Vipin Shukla</t>
  </si>
  <si>
    <t>Arman</t>
  </si>
  <si>
    <t>Prem Prakash Sharma</t>
  </si>
  <si>
    <t>Dheeru</t>
  </si>
  <si>
    <t>Dinesh Gautam</t>
  </si>
  <si>
    <t>Tejpal</t>
  </si>
  <si>
    <t>Iqra Umar</t>
  </si>
  <si>
    <t>Radhe Shyam</t>
  </si>
  <si>
    <t>Mohd Shahanvaj</t>
  </si>
  <si>
    <t>Anand Kumar Kashyap</t>
  </si>
  <si>
    <t>Ranjeet Kumar</t>
  </si>
  <si>
    <t>Avadhesh Kumar Pandey</t>
  </si>
  <si>
    <t>Ankit</t>
  </si>
  <si>
    <t>Prateek Verma</t>
  </si>
  <si>
    <t>Shraddha Verma</t>
  </si>
  <si>
    <t>Rajender Prasad Yadav</t>
  </si>
  <si>
    <t>Ayush Gupta</t>
  </si>
  <si>
    <t>Data Ram</t>
  </si>
  <si>
    <t>Labh Singh</t>
  </si>
  <si>
    <t>Amrish Shukla</t>
  </si>
  <si>
    <t>Lakshmi Gautam</t>
  </si>
  <si>
    <t>Mahima Singh</t>
  </si>
  <si>
    <t>Suresh Nath Srivastav</t>
  </si>
  <si>
    <t>Sushant Verma</t>
  </si>
  <si>
    <t>Shiv Kumar Tiwari</t>
  </si>
  <si>
    <t>Alok Kashyap</t>
  </si>
  <si>
    <t>Purushottam</t>
  </si>
  <si>
    <t>Rakesh Singh</t>
  </si>
  <si>
    <t>Ranjana Devi</t>
  </si>
  <si>
    <t>Devendra Kumar Awasthi</t>
  </si>
  <si>
    <t>Karan Verma</t>
  </si>
  <si>
    <t>Awadhesh Kumar</t>
  </si>
  <si>
    <t>Prashant Verma</t>
  </si>
  <si>
    <t>Mohd Samim</t>
  </si>
  <si>
    <t>Sandeep Kumar Verma</t>
  </si>
  <si>
    <t>Ram Kumar</t>
  </si>
  <si>
    <t>Ankush Kashyap</t>
  </si>
  <si>
    <t>Ashafaq Ali</t>
  </si>
  <si>
    <t>Archit Arya</t>
  </si>
  <si>
    <t>Ramakant Trivedi</t>
  </si>
  <si>
    <t>Shadab</t>
  </si>
  <si>
    <t>Anurag Verma</t>
  </si>
  <si>
    <t>Shambhu Nath</t>
  </si>
  <si>
    <t>Karan Raj</t>
  </si>
  <si>
    <t>Vinod Kumar Verma</t>
  </si>
  <si>
    <t>Mansi Soni</t>
  </si>
  <si>
    <t>Akhilesh Kumar Verma</t>
  </si>
  <si>
    <t>Abhijeet Shukla</t>
  </si>
  <si>
    <t>Jabbar Khan</t>
  </si>
  <si>
    <t>Piyush</t>
  </si>
  <si>
    <t>Balbharda Singh</t>
  </si>
  <si>
    <t>Saksham</t>
  </si>
  <si>
    <t>Harshit Verma</t>
  </si>
  <si>
    <t>Gyan</t>
  </si>
  <si>
    <t>Kaushal</t>
  </si>
  <si>
    <t>Shiv Pujan</t>
  </si>
  <si>
    <t>Vimal Rastogi</t>
  </si>
  <si>
    <t>Daud Ali</t>
  </si>
  <si>
    <t>Kamal Kishor</t>
  </si>
  <si>
    <t>Vineet Gupta</t>
  </si>
  <si>
    <t>Vishal Awasthi</t>
  </si>
  <si>
    <t>Mohd Asif</t>
  </si>
  <si>
    <t>Rustam Husain</t>
  </si>
  <si>
    <t>Shradha Devi</t>
  </si>
  <si>
    <t>Akshay Kanaujiya</t>
  </si>
  <si>
    <t>Gayatree Devi</t>
  </si>
  <si>
    <t>Deshraj</t>
  </si>
  <si>
    <t>Shivam Awasthi</t>
  </si>
  <si>
    <t>Avika Gupta</t>
  </si>
  <si>
    <t>Santosh Kumar</t>
  </si>
  <si>
    <t>Babuna Kushwaha</t>
  </si>
  <si>
    <t>Anubhav Pandey</t>
  </si>
  <si>
    <t>Anup Kumar Sharma</t>
  </si>
  <si>
    <t>Shyam Narayan</t>
  </si>
  <si>
    <t>Sonali Singh</t>
  </si>
  <si>
    <t>Raghunath Singh</t>
  </si>
  <si>
    <t>Debajani Debadarsini</t>
  </si>
  <si>
    <t>Chandan Kumar</t>
  </si>
  <si>
    <t>Vijay Bahadur</t>
  </si>
  <si>
    <t>Monu</t>
  </si>
  <si>
    <t>Dhiraj Kumar</t>
  </si>
  <si>
    <t>Shabahat Ali</t>
  </si>
  <si>
    <t>Kuldeep Dubey</t>
  </si>
  <si>
    <t>Khushi Ram</t>
  </si>
  <si>
    <t>Balwant Kumar</t>
  </si>
  <si>
    <t>Krishnapal</t>
  </si>
  <si>
    <t>Vinod Sharma</t>
  </si>
  <si>
    <t>Shivam Kashyap</t>
  </si>
  <si>
    <t>Rajendra Yadav</t>
  </si>
  <si>
    <t>Shaik Zahur Pasha</t>
  </si>
  <si>
    <t>Sadik</t>
  </si>
  <si>
    <t>Vijay Pratap Yadav</t>
  </si>
  <si>
    <t>Bhalerao Snehal Vasant</t>
  </si>
  <si>
    <t>Molhey</t>
  </si>
  <si>
    <t>Shaikh Mohin Sadik</t>
  </si>
  <si>
    <t>Vasant Nivrutti Bhalerao</t>
  </si>
  <si>
    <t>Abhishek Pal</t>
  </si>
  <si>
    <t>Akanksha Kumari Nischal</t>
  </si>
  <si>
    <t>Abhishek Giri</t>
  </si>
  <si>
    <t>Tribhuvan Singh</t>
  </si>
  <si>
    <t>Rahul Gupta</t>
  </si>
  <si>
    <t>Nizamuddin</t>
  </si>
  <si>
    <t>Govind Yadav</t>
  </si>
  <si>
    <t>Pirzada Hidayat Ullah Shah</t>
  </si>
  <si>
    <t>Km Naina Garg</t>
  </si>
  <si>
    <t>Vinod Singh</t>
  </si>
  <si>
    <t>Manash Jyoti Gowala</t>
  </si>
  <si>
    <t>Someshwar Datt</t>
  </si>
  <si>
    <t>Rohit Kumar</t>
  </si>
  <si>
    <t>Md Nousher Ansari</t>
  </si>
  <si>
    <t>Nimisha Kumari</t>
  </si>
  <si>
    <t>Ronit Gupta</t>
  </si>
  <si>
    <t>Vaseem</t>
  </si>
  <si>
    <t>Amar Chaudhary</t>
  </si>
  <si>
    <t>Nand Kishor</t>
  </si>
  <si>
    <t>Krishna Kumar Chauhan</t>
  </si>
  <si>
    <t>Arun Kumar</t>
  </si>
  <si>
    <t>Keshavram Chaurasiya</t>
  </si>
  <si>
    <t>Bijender Singh Yadav</t>
  </si>
  <si>
    <t>Mahesh Kumar Mishra</t>
  </si>
  <si>
    <t>Sayan Bala</t>
  </si>
  <si>
    <t>Mohammad Jabir</t>
  </si>
  <si>
    <t>Avishake Deb</t>
  </si>
  <si>
    <t>Nitish Yadav</t>
  </si>
  <si>
    <t>Virendra Katiyar</t>
  </si>
  <si>
    <t>Mohd Rafik</t>
  </si>
  <si>
    <t>Madan Kumar</t>
  </si>
  <si>
    <t>Soumitra Mandal</t>
  </si>
  <si>
    <t>Anoop Kumar Verma</t>
  </si>
  <si>
    <t>Manthan</t>
  </si>
  <si>
    <t>Anuj Mishra</t>
  </si>
  <si>
    <t>Saurabh Kushwaha</t>
  </si>
  <si>
    <t>Ram Dulare</t>
  </si>
  <si>
    <t>Vinod Kumar Yadav</t>
  </si>
  <si>
    <t>Rajendra Kumar</t>
  </si>
  <si>
    <t>Alissa Silveira</t>
  </si>
  <si>
    <t>Surbhi Akanksha</t>
  </si>
  <si>
    <t>Jagdish Prasad</t>
  </si>
  <si>
    <t>Rajneesh Shukla</t>
  </si>
  <si>
    <t>Sandhya Kumari</t>
  </si>
  <si>
    <t>Bahadur</t>
  </si>
  <si>
    <t>Atanu Biswas</t>
  </si>
  <si>
    <t>Avadh Ram</t>
  </si>
  <si>
    <t>Nikita Bajaj</t>
  </si>
  <si>
    <t>Kamal Kumar Mishra</t>
  </si>
  <si>
    <t>Sonam Kumari</t>
  </si>
  <si>
    <t>Suresh Pal Singh</t>
  </si>
  <si>
    <t>Jatin Singh</t>
  </si>
  <si>
    <t>Ranjeet Giri</t>
  </si>
  <si>
    <t>Pawandeep Kaur</t>
  </si>
  <si>
    <t>Jogendra Singh</t>
  </si>
  <si>
    <t>Ajit Kumar</t>
  </si>
  <si>
    <t>Sakib Sultan</t>
  </si>
  <si>
    <t>Neha Lahari</t>
  </si>
  <si>
    <t>Rajesh Singh</t>
  </si>
  <si>
    <t>Ankit Kumar Singh</t>
  </si>
  <si>
    <t>Shendage Sharvari Pandurang</t>
  </si>
  <si>
    <t>Avinash Kumar</t>
  </si>
  <si>
    <t>Amit Kumar Soni</t>
  </si>
  <si>
    <t>Ankit Saini</t>
  </si>
  <si>
    <t>Ritesh Kumar</t>
  </si>
  <si>
    <t>Mobin Ahmad</t>
  </si>
  <si>
    <t>Yogendra Verma</t>
  </si>
  <si>
    <t>Mohd Amanullah</t>
  </si>
  <si>
    <t>Gyanchand Yadav</t>
  </si>
  <si>
    <t>Abhilesh Kumar</t>
  </si>
  <si>
    <t>Moharram</t>
  </si>
  <si>
    <t>Dhurav Kumar</t>
  </si>
  <si>
    <t>Anilprasad Singh</t>
  </si>
  <si>
    <t>Mohan Swaroop</t>
  </si>
  <si>
    <t>Chandra Shekhar Verma</t>
  </si>
  <si>
    <t>Aditya Kumar</t>
  </si>
  <si>
    <t>Visheshwar Dayal</t>
  </si>
  <si>
    <t>Uttam Verma</t>
  </si>
  <si>
    <t>Sunil Kashyap</t>
  </si>
  <si>
    <t>Sachin Kumar</t>
  </si>
  <si>
    <t>Umesh Kumar Rana</t>
  </si>
  <si>
    <t>Kanhaiya Lal</t>
  </si>
  <si>
    <t>Vijendra Kumar</t>
  </si>
  <si>
    <t>Gyan Chandra Pandey</t>
  </si>
  <si>
    <t>Ameen Ahmad</t>
  </si>
  <si>
    <t>Darbari Lal</t>
  </si>
  <si>
    <t>Kuldeep</t>
  </si>
  <si>
    <t>Bhanu Pratap Verma</t>
  </si>
  <si>
    <t>Vikku</t>
  </si>
  <si>
    <t>Nattharam</t>
  </si>
  <si>
    <t>Krishnanand Yadav</t>
  </si>
  <si>
    <t>Ayub Ali</t>
  </si>
  <si>
    <t>Nirmal Singh</t>
  </si>
  <si>
    <t>Mangal Prasad Tiwari</t>
  </si>
  <si>
    <t>Sonu Yadav</t>
  </si>
  <si>
    <t>Ram Prakash Rana</t>
  </si>
  <si>
    <t>Civil Katiyar</t>
  </si>
  <si>
    <t>Kaushal Kishor</t>
  </si>
  <si>
    <t>Mo. Sameer</t>
  </si>
  <si>
    <t>Atul Kumar Gupta</t>
  </si>
  <si>
    <t>Kamal Kumar</t>
  </si>
  <si>
    <t>Ram Krapal</t>
  </si>
  <si>
    <t>Shagun Awasthi</t>
  </si>
  <si>
    <t>Shaik Afsara Ahmed</t>
  </si>
  <si>
    <t>Shlok Saxena</t>
  </si>
  <si>
    <t>Lakshman Chauhan</t>
  </si>
  <si>
    <t>Aakash Singh</t>
  </si>
  <si>
    <t>Najakat Khan</t>
  </si>
  <si>
    <t>Mohd Laraib Nadeem Khan</t>
  </si>
  <si>
    <t>Mani Ram</t>
  </si>
  <si>
    <t>Anchal Tiwari</t>
  </si>
  <si>
    <t>Dhruv Kumar</t>
  </si>
  <si>
    <t>Niraj Singh</t>
  </si>
  <si>
    <t>Pradeep Kumar Sahani</t>
  </si>
  <si>
    <t>Ram Khelavan</t>
  </si>
  <si>
    <t>Mamta Jaiswal</t>
  </si>
  <si>
    <t>Amit Kumar Mishra</t>
  </si>
  <si>
    <t>Mosahariyar</t>
  </si>
  <si>
    <t>Shivam Kumar Rana</t>
  </si>
  <si>
    <t>Lavkush</t>
  </si>
  <si>
    <t>Amreesh Kumar</t>
  </si>
  <si>
    <t>Brijesh Verma</t>
  </si>
  <si>
    <t>Mohammad Shahid Khan</t>
  </si>
  <si>
    <t>Kamta Prasad Verma</t>
  </si>
  <si>
    <t>Krishna Kumar Verma</t>
  </si>
  <si>
    <t>Arpit Jaiswal</t>
  </si>
  <si>
    <t>Dinesh Chandra Shrivastava</t>
  </si>
  <si>
    <t>Lakhpati Ram</t>
  </si>
  <si>
    <t>Anjali Mandal</t>
  </si>
  <si>
    <t>Ram Pravesh</t>
  </si>
  <si>
    <t>Jakir Husain</t>
  </si>
  <si>
    <t>Neeraj Kumar</t>
  </si>
  <si>
    <t>Nitin Singh</t>
  </si>
  <si>
    <t>Maheshpal</t>
  </si>
  <si>
    <t>Som Prakash Yadav</t>
  </si>
  <si>
    <t>Yogender Bajaj</t>
  </si>
  <si>
    <t>Km Mohini Devi</t>
  </si>
  <si>
    <t>Ram Gopal Verma</t>
  </si>
  <si>
    <t>Km Monika Devi</t>
  </si>
  <si>
    <t>Ramu</t>
  </si>
  <si>
    <t>Shalindri Pal</t>
  </si>
  <si>
    <t>Chandrabhal</t>
  </si>
  <si>
    <t>Jitin Shukla</t>
  </si>
  <si>
    <t>Dheerendra Singh</t>
  </si>
  <si>
    <t>Saumya Awasthi</t>
  </si>
  <si>
    <t>Akhilesh</t>
  </si>
  <si>
    <t>Kumar Vishal Singh</t>
  </si>
  <si>
    <t>Nandkishor</t>
  </si>
  <si>
    <t>Shailendra Singh</t>
  </si>
  <si>
    <t>Hanuman Prasad Shukla</t>
  </si>
  <si>
    <t>Satyendra Kumar Srivastava</t>
  </si>
  <si>
    <t>Anwar Ali</t>
  </si>
  <si>
    <t>Shrikrishna</t>
  </si>
  <si>
    <t>Anshika Bajpai</t>
  </si>
  <si>
    <t>Palak Mishra</t>
  </si>
  <si>
    <t>Daya Shankar</t>
  </si>
  <si>
    <t>Priyanshi Mishra</t>
  </si>
  <si>
    <t>Bhagauti Prasad</t>
  </si>
  <si>
    <t>Gajendra Singh</t>
  </si>
  <si>
    <t>Dinesh Kumar Shukla</t>
  </si>
  <si>
    <t>Manisha Devi</t>
  </si>
  <si>
    <t>S.Shernee Singh Baghel</t>
  </si>
  <si>
    <t>Anjali Verma</t>
  </si>
  <si>
    <t>Km Nidhi</t>
  </si>
  <si>
    <t>Vishesh Kumar Jaiswal</t>
  </si>
  <si>
    <t>Nitesh Chaurasiya</t>
  </si>
  <si>
    <t>Shyam Singh</t>
  </si>
  <si>
    <t>Muskaan Awasthi</t>
  </si>
  <si>
    <t>Uma Shankar Yadav</t>
  </si>
  <si>
    <t>Satyansh Mishra</t>
  </si>
  <si>
    <t>Mahendra Kumar Pandey</t>
  </si>
  <si>
    <t>Abhinav Mishra</t>
  </si>
  <si>
    <t>Ajay Pal Singh</t>
  </si>
  <si>
    <t>Km Supriya Yadav</t>
  </si>
  <si>
    <t>Ashish Kumar Shukla</t>
  </si>
  <si>
    <t>Km Priya Verma</t>
  </si>
  <si>
    <t>Nikhil Kumar</t>
  </si>
  <si>
    <t>Vijay Shukla</t>
  </si>
  <si>
    <t>Shubham Pandey</t>
  </si>
  <si>
    <t>Abhishek Dixit</t>
  </si>
  <si>
    <t>Shailendra Kumar Shukla</t>
  </si>
  <si>
    <t>Uttam Kumar Nag</t>
  </si>
  <si>
    <t>Himanshu Singh</t>
  </si>
  <si>
    <t>Mo Ahmad</t>
  </si>
  <si>
    <t>Anjaly Jaiswal</t>
  </si>
  <si>
    <t>Jaid Ali</t>
  </si>
  <si>
    <t>Santosh Mishra</t>
  </si>
  <si>
    <t>Nidhee</t>
  </si>
  <si>
    <t>Paikarmadeen Verma</t>
  </si>
  <si>
    <t>Aditya</t>
  </si>
  <si>
    <t>Anoop Awasthi</t>
  </si>
  <si>
    <t>Km Shital</t>
  </si>
  <si>
    <t>Jalim Singh</t>
  </si>
  <si>
    <t>Nitin Nigam</t>
  </si>
  <si>
    <t>Omkar Nath Maurya</t>
  </si>
  <si>
    <t>Adarsh Maurya</t>
  </si>
  <si>
    <t>Jagdamba Prasad</t>
  </si>
  <si>
    <t>Durga Prashad</t>
  </si>
  <si>
    <t>Rupali Gupta</t>
  </si>
  <si>
    <t>Neetu</t>
  </si>
  <si>
    <t>Rajan</t>
  </si>
  <si>
    <t>Shalini Mitra</t>
  </si>
  <si>
    <t>Manoj Upadhyay</t>
  </si>
  <si>
    <t>Ramoo Singh</t>
  </si>
  <si>
    <t>Bechelal</t>
  </si>
  <si>
    <t>Km Ankita Sharma</t>
  </si>
  <si>
    <t>Prabhu Pratap Singh</t>
  </si>
  <si>
    <t>Ramji Mishra</t>
  </si>
  <si>
    <t>Rajaram</t>
  </si>
  <si>
    <t>Mohd Naeem</t>
  </si>
  <si>
    <t>Suraj Kumar Shukla</t>
  </si>
  <si>
    <t>Nandlal</t>
  </si>
  <si>
    <t>Kanchan</t>
  </si>
  <si>
    <t>Sumiraj Singh</t>
  </si>
  <si>
    <t>Roshani</t>
  </si>
  <si>
    <t>Badshah Yadav</t>
  </si>
  <si>
    <t>Pirzada Mohammad Shafi Shah</t>
  </si>
  <si>
    <t>Deep Babu Mishra</t>
  </si>
  <si>
    <t>Awadhesh Kumar Verma</t>
  </si>
  <si>
    <t>Sharvan Maurya</t>
  </si>
  <si>
    <t>Sarda Prasad</t>
  </si>
  <si>
    <t>Yuvraj Singh Yadav</t>
  </si>
  <si>
    <t>Gaurav Kumar</t>
  </si>
  <si>
    <t>Shakeel Khan</t>
  </si>
  <si>
    <t>Harsh Rastogi</t>
  </si>
  <si>
    <t>Ramu Gupta</t>
  </si>
  <si>
    <t>Bhoomi Trivedi</t>
  </si>
  <si>
    <t>Mithilesh Kumar Gupta</t>
  </si>
  <si>
    <t>Lovely Gupta</t>
  </si>
  <si>
    <t>Jaipraksh Trivedi</t>
  </si>
  <si>
    <t>Shadaman</t>
  </si>
  <si>
    <t>Maqsood Ali</t>
  </si>
  <si>
    <t>Shivangi Sharma</t>
  </si>
  <si>
    <t>Hari Om Mishra</t>
  </si>
  <si>
    <t>Fiza Bano</t>
  </si>
  <si>
    <t>Shri Ram Nag</t>
  </si>
  <si>
    <t>Shubhi Awasthi</t>
  </si>
  <si>
    <t>Ramesh Jha</t>
  </si>
  <si>
    <t>Anshika Dixit</t>
  </si>
  <si>
    <t>Pawan Singh</t>
  </si>
  <si>
    <t>Meena Devi</t>
  </si>
  <si>
    <t>Amir Hasan</t>
  </si>
  <si>
    <t>Ruchi Bharti</t>
  </si>
  <si>
    <t>Ram Muneesh</t>
  </si>
  <si>
    <t>Abhishek Gautam</t>
  </si>
  <si>
    <t>Sannu Lal Soni</t>
  </si>
  <si>
    <t>Fariha Khatoon</t>
  </si>
  <si>
    <t>Jay Shankar Mishra</t>
  </si>
  <si>
    <t>Shahina</t>
  </si>
  <si>
    <t>Anamika Singh</t>
  </si>
  <si>
    <t>Mohd. Saif</t>
  </si>
  <si>
    <t>Roshani Raj</t>
  </si>
  <si>
    <t>Mo. Faijan</t>
  </si>
  <si>
    <t>Mohammad Monish Khan</t>
  </si>
  <si>
    <t>Brajesh Rastogi</t>
  </si>
  <si>
    <t>Vanshika Agarwal</t>
  </si>
  <si>
    <t>Kishan Gupta</t>
  </si>
  <si>
    <t>Sumit Chaurasia</t>
  </si>
  <si>
    <t>Vivek</t>
  </si>
  <si>
    <t>Samiulla Chaudhari</t>
  </si>
  <si>
    <t>Prarabdh Singh</t>
  </si>
  <si>
    <t>Moh Azad</t>
  </si>
  <si>
    <t>Shivam Raj</t>
  </si>
  <si>
    <t>Tanu Ram Gowala</t>
  </si>
  <si>
    <t>Animesh Deb</t>
  </si>
  <si>
    <t>Sulabh</t>
  </si>
  <si>
    <t>Krishna Bahadur Singh</t>
  </si>
  <si>
    <t>Ravindra</t>
  </si>
  <si>
    <t>Jharikhe Lal</t>
  </si>
  <si>
    <t>Subham Gautam</t>
  </si>
  <si>
    <t>Mithilesh Kumar</t>
  </si>
  <si>
    <t>Ribai Prasad</t>
  </si>
  <si>
    <t>Brahm Singh</t>
  </si>
  <si>
    <t>Nijamaudeen Siddiqi</t>
  </si>
  <si>
    <t>Ayush Kumar</t>
  </si>
  <si>
    <t>Aun Kumar</t>
  </si>
  <si>
    <t>Abhishek Upadhyay</t>
  </si>
  <si>
    <t>Sahab Lal Rajak</t>
  </si>
  <si>
    <t>Mohammad Kamran</t>
  </si>
  <si>
    <t>Surjeet Maurya</t>
  </si>
  <si>
    <t>Pramod Mishra</t>
  </si>
  <si>
    <t>Ankush Verma</t>
  </si>
  <si>
    <t>Lal Ji</t>
  </si>
  <si>
    <t>Saroj Kumar</t>
  </si>
  <si>
    <t>Awadhram Mishra</t>
  </si>
  <si>
    <t>Kutbudeen</t>
  </si>
  <si>
    <t>Swami Saran</t>
  </si>
  <si>
    <t>Sushil Kumar</t>
  </si>
  <si>
    <t>Anureet Kaur</t>
  </si>
  <si>
    <t>Mohan Lal</t>
  </si>
  <si>
    <t>Tanureet Kaur</t>
  </si>
  <si>
    <t>Abhishek Kumar</t>
  </si>
  <si>
    <t>Ramesh Chandra Shukla</t>
  </si>
  <si>
    <t>Anis Ansari</t>
  </si>
  <si>
    <t>Navdeep Singh</t>
  </si>
  <si>
    <t>Sarvesh Srivastava</t>
  </si>
  <si>
    <t>Mangal Singh</t>
  </si>
  <si>
    <t>Vimlesh Kumar</t>
  </si>
  <si>
    <t>Misauddin</t>
  </si>
  <si>
    <t>Moti Lal</t>
  </si>
  <si>
    <t>Omkar Giri</t>
  </si>
  <si>
    <t>Sunil Gupta</t>
  </si>
  <si>
    <t>Ashim Kumar Biswas</t>
  </si>
  <si>
    <t>Romal Verma</t>
  </si>
  <si>
    <t>Dharmendra Kumar</t>
  </si>
  <si>
    <t>Subhash Singh</t>
  </si>
  <si>
    <t>Omkar</t>
  </si>
  <si>
    <t>Ram Kishan Verma</t>
  </si>
  <si>
    <t>Subhash Kumar</t>
  </si>
  <si>
    <t>Jagannath Yadav</t>
  </si>
  <si>
    <t>Sunder Lal</t>
  </si>
  <si>
    <t>Rakesh Yadav</t>
  </si>
  <si>
    <t>Umadatt</t>
  </si>
  <si>
    <t>Ashwani Kumar Singh</t>
  </si>
  <si>
    <t>Ikbal Hushain</t>
  </si>
  <si>
    <t>Km Madhur Shukla</t>
  </si>
  <si>
    <t>Mahendra Kumar Verma</t>
  </si>
  <si>
    <t>Suraj Singh</t>
  </si>
  <si>
    <t>Nand Kumar</t>
  </si>
  <si>
    <t>Nagendra Kumar</t>
  </si>
  <si>
    <t>Hareram</t>
  </si>
  <si>
    <t>Manoj Nigam</t>
  </si>
  <si>
    <t>Hemendra Kumar Srivastava</t>
  </si>
  <si>
    <t>Sanjeev Chaurasiya</t>
  </si>
  <si>
    <t>Aditya Singh</t>
  </si>
  <si>
    <t>Km Bandana Singh</t>
  </si>
  <si>
    <t>Ikram Ali</t>
  </si>
  <si>
    <t>Sudhanshu Tiwari</t>
  </si>
  <si>
    <t>Ajay Singh</t>
  </si>
  <si>
    <t>Mohammad Nafish Khan</t>
  </si>
  <si>
    <t>Santosh Kumar Rajpoot</t>
  </si>
  <si>
    <t>Dheerendra Kumar</t>
  </si>
  <si>
    <t>Harinam</t>
  </si>
  <si>
    <t>Mithlesh Kumar</t>
  </si>
  <si>
    <t>Jay Ram</t>
  </si>
  <si>
    <t>Shyam Singh Rana</t>
  </si>
  <si>
    <t>Subhashini</t>
  </si>
  <si>
    <t>Vaidik Srivastava</t>
  </si>
  <si>
    <t>Moenuddin</t>
  </si>
  <si>
    <t>Umesh Pratap Singh</t>
  </si>
  <si>
    <t>Abhay Raj</t>
  </si>
  <si>
    <t>Ram Ji</t>
  </si>
  <si>
    <t>Anuj Kumar Bajpai</t>
  </si>
  <si>
    <t>Uma Prakash</t>
  </si>
  <si>
    <t>Sanoj Kumar Rajbhar</t>
  </si>
  <si>
    <t>Imtiyaz</t>
  </si>
  <si>
    <t>Ramswarup</t>
  </si>
  <si>
    <t>Jagdish Gautam</t>
  </si>
  <si>
    <t>Vinod Yadav</t>
  </si>
  <si>
    <t>Sonu Gupta</t>
  </si>
  <si>
    <t>Susheel Kumar</t>
  </si>
  <si>
    <t>Siya Nand Giri</t>
  </si>
  <si>
    <t>Tausheeb Ahmad</t>
  </si>
  <si>
    <t>Sushil</t>
  </si>
  <si>
    <t>Rangilal Rajpoot</t>
  </si>
  <si>
    <t>Avdhesh Singh</t>
  </si>
  <si>
    <t>Ramkumar</t>
  </si>
  <si>
    <t>Anil Verma</t>
  </si>
  <si>
    <t>Shiwa Kumar</t>
  </si>
  <si>
    <t>Salim Khan</t>
  </si>
  <si>
    <t>Aman Sahni</t>
  </si>
  <si>
    <t>Harinand</t>
  </si>
  <si>
    <t>Rajendra Prasad</t>
  </si>
  <si>
    <t>Rajan Sahni</t>
  </si>
  <si>
    <t>Sanjay Soni</t>
  </si>
  <si>
    <t>Indar Kumar</t>
  </si>
  <si>
    <t>Ram Mitra</t>
  </si>
  <si>
    <t>Rohit Jaishawal</t>
  </si>
  <si>
    <t>Mohd.Adil</t>
  </si>
  <si>
    <t>Mahtab Alam</t>
  </si>
  <si>
    <t>Gautam Vishwkarma</t>
  </si>
  <si>
    <t>Mohammad Zakir</t>
  </si>
  <si>
    <t>Ram Lotan Maurya</t>
  </si>
  <si>
    <t>Shahanwaz Ansari</t>
  </si>
  <si>
    <t>Km Tarannum</t>
  </si>
  <si>
    <t>Merajuddin</t>
  </si>
  <si>
    <t>Rajan Sahani</t>
  </si>
  <si>
    <t>Kodi Lal</t>
  </si>
  <si>
    <t>Wahi Duzzman</t>
  </si>
  <si>
    <t>Ram Bahadur</t>
  </si>
  <si>
    <t>Gayadeen Singh Baghel</t>
  </si>
  <si>
    <t>Subhashinee</t>
  </si>
  <si>
    <t>Aman</t>
  </si>
  <si>
    <t>Ambuj Sharma</t>
  </si>
  <si>
    <t>Amrendra Kumar Shukla</t>
  </si>
  <si>
    <t>Ashutosh Gupta</t>
  </si>
  <si>
    <t>Ayush Kumar Mishra</t>
  </si>
  <si>
    <t>Mohammad Faheem Khan</t>
  </si>
  <si>
    <t>Himanshu Mishra</t>
  </si>
  <si>
    <t>Hari Narayan</t>
  </si>
  <si>
    <t>Irfan Ali</t>
  </si>
  <si>
    <t>Lavakesh</t>
  </si>
  <si>
    <t>Rustam</t>
  </si>
  <si>
    <t>Satyendra Kumar</t>
  </si>
  <si>
    <t>Deenanath Sharma</t>
  </si>
  <si>
    <t>Shobhit Verma</t>
  </si>
  <si>
    <t>Sumit Yadav</t>
  </si>
  <si>
    <t>Suraj Verma</t>
  </si>
  <si>
    <t>Upmanyu Mishra</t>
  </si>
  <si>
    <t>Gaya Prasad</t>
  </si>
  <si>
    <t>Kajal Soni</t>
  </si>
  <si>
    <t>Vasim Ahmed</t>
  </si>
  <si>
    <t>Unnati Shukla</t>
  </si>
  <si>
    <t>Km Gulista Bano</t>
  </si>
  <si>
    <t>Dwadshi</t>
  </si>
  <si>
    <t>Ansh Kashyap</t>
  </si>
  <si>
    <t>Parmeshwar Kashyap</t>
  </si>
  <si>
    <t>Chandani Devi</t>
  </si>
  <si>
    <t>Priya Raj</t>
  </si>
  <si>
    <t>Siddhiprakash</t>
  </si>
  <si>
    <t>Chandni Kashyap</t>
  </si>
  <si>
    <t>Ram Prakash</t>
  </si>
  <si>
    <t>Harduari Lal</t>
  </si>
  <si>
    <t>Km Anshika Srivastava</t>
  </si>
  <si>
    <t>Laxmi Narayan</t>
  </si>
  <si>
    <t>Sakshi Srivastava</t>
  </si>
  <si>
    <t>Somvati Raj</t>
  </si>
  <si>
    <t>Subhi Singh</t>
  </si>
  <si>
    <t>Krishna Pratap Singh</t>
  </si>
  <si>
    <t>Km Jyoti Bhargava</t>
  </si>
  <si>
    <t>Shreekant Gupta</t>
  </si>
  <si>
    <t>Km Saima Bano</t>
  </si>
  <si>
    <t>Ravindra Gupta</t>
  </si>
  <si>
    <t>Saliha Khatoon</t>
  </si>
  <si>
    <t>Karan Kumar</t>
  </si>
  <si>
    <t>Hariom Shukla</t>
  </si>
  <si>
    <t>Neha Devi</t>
  </si>
  <si>
    <t>Balwant Singh</t>
  </si>
  <si>
    <t>Shalini Bharti</t>
  </si>
  <si>
    <t>Mohd Rayyan Ansari</t>
  </si>
  <si>
    <t>Ram Sewak</t>
  </si>
  <si>
    <t>Saloni</t>
  </si>
  <si>
    <t>Vipin Rajpoot</t>
  </si>
  <si>
    <t>Anchal Kumar Verma</t>
  </si>
  <si>
    <t>Ankur Gaur</t>
  </si>
  <si>
    <t>Ramesh Chandra Bharti</t>
  </si>
  <si>
    <t>Gitesh Kumar Gaur</t>
  </si>
  <si>
    <t>Mukesh Singh</t>
  </si>
  <si>
    <t>Shailendra Kumar Verma</t>
  </si>
  <si>
    <t>Saurabh Mishra</t>
  </si>
  <si>
    <t>Anil Mishra</t>
  </si>
  <si>
    <t>Km Afreen Naz</t>
  </si>
  <si>
    <t>Gayatri Prasad</t>
  </si>
  <si>
    <t>Mohd Sahil</t>
  </si>
  <si>
    <t>Shiv Kishor</t>
  </si>
  <si>
    <t>Samar Srivastava</t>
  </si>
  <si>
    <t>Amit Kumar Pandey</t>
  </si>
  <si>
    <t>Ajeet Kumar Rajbhar</t>
  </si>
  <si>
    <t>Neha</t>
  </si>
  <si>
    <t>Krishna Gupta</t>
  </si>
  <si>
    <t>Akash Shukla</t>
  </si>
  <si>
    <t>Mohammad Saleem</t>
  </si>
  <si>
    <t>Parikaramadeen</t>
  </si>
  <si>
    <t>Naseer Ahmad</t>
  </si>
  <si>
    <t>Tarun Kumar Ray</t>
  </si>
  <si>
    <t>Mani Ram Maurya</t>
  </si>
  <si>
    <t>Gorakhnath Shukla</t>
  </si>
  <si>
    <t>Sarvesh Kumar Mishra</t>
  </si>
  <si>
    <t>Acchan</t>
  </si>
  <si>
    <t>Rabbi Lal</t>
  </si>
  <si>
    <t>Satyendra Verma</t>
  </si>
  <si>
    <t>Rajender Gupta</t>
  </si>
  <si>
    <t>Himanshi Yadav</t>
  </si>
  <si>
    <t>Mukhtyar Singh</t>
  </si>
  <si>
    <t>Jagdish Chakrawarti</t>
  </si>
  <si>
    <t>Ram Nivash Gupta</t>
  </si>
  <si>
    <t>Pratima Yadav</t>
  </si>
  <si>
    <t>Arun Prkash Verma</t>
  </si>
  <si>
    <t>Udit Kumar Mishra</t>
  </si>
  <si>
    <t>Satya Prakash</t>
  </si>
  <si>
    <t>Buddha Maurya</t>
  </si>
  <si>
    <t>Harindra Kumar</t>
  </si>
  <si>
    <t>Gul Mohammad</t>
  </si>
  <si>
    <t>Kaushlendra Kumar Pandey</t>
  </si>
  <si>
    <t>Shyam Kishor Raj</t>
  </si>
  <si>
    <t>Mahesh Kumar</t>
  </si>
  <si>
    <t>Anshika Shukla</t>
  </si>
  <si>
    <t>Suresh Chandra</t>
  </si>
  <si>
    <t>Jarman Singh</t>
  </si>
  <si>
    <t>Chanpreet Singh</t>
  </si>
  <si>
    <t>Deshraj Verma</t>
  </si>
  <si>
    <t>Lovepreet Singh</t>
  </si>
  <si>
    <t>Bachha Babu</t>
  </si>
  <si>
    <t>Manees Rathore</t>
  </si>
  <si>
    <t>Premchandra</t>
  </si>
  <si>
    <t>Ram Singh</t>
  </si>
  <si>
    <t>Alka Singh</t>
  </si>
  <si>
    <t>Richanshoo Jaiswal</t>
  </si>
  <si>
    <t>Arvind Nishad</t>
  </si>
  <si>
    <t>Atul Nishad</t>
  </si>
  <si>
    <t>Sudhakar Awasthi</t>
  </si>
  <si>
    <t>Chhannoo Shukla</t>
  </si>
  <si>
    <t>Rama Shankar Verma</t>
  </si>
  <si>
    <t>Sanjay Kumar Katiyar</t>
  </si>
  <si>
    <t>Shiv Kumar</t>
  </si>
  <si>
    <t>Km Shiksha Devi</t>
  </si>
  <si>
    <t>Saurabh Diwedi</t>
  </si>
  <si>
    <t>Km Khushboo Goutam</t>
  </si>
  <si>
    <t>Ramashrey Pal</t>
  </si>
  <si>
    <t>Rajneesh Kumar</t>
  </si>
  <si>
    <t>Shiva</t>
  </si>
  <si>
    <t>Uma Shankar Verma</t>
  </si>
  <si>
    <t>Ankit Diwedi</t>
  </si>
  <si>
    <t>Rinki Devi</t>
  </si>
  <si>
    <t>Himanshu Patel</t>
  </si>
  <si>
    <t>Kailash Trivedi</t>
  </si>
  <si>
    <t>Madhu Devi Vishwakarma</t>
  </si>
  <si>
    <t>Raman Kumar</t>
  </si>
  <si>
    <t>Natharam</t>
  </si>
  <si>
    <t>Km Kranti Devi</t>
  </si>
  <si>
    <t>Pankaj Singh</t>
  </si>
  <si>
    <t>Mohammad Ahtisham</t>
  </si>
  <si>
    <t>Santosh Tiwari</t>
  </si>
  <si>
    <t>Mohammad Farhad Khan</t>
  </si>
  <si>
    <t>Hari Pal Singh</t>
  </si>
  <si>
    <t>Mohd Aman</t>
  </si>
  <si>
    <t>Sarfaraz</t>
  </si>
  <si>
    <t>Mohd Meraj</t>
  </si>
  <si>
    <t>Harish Chandra Singh</t>
  </si>
  <si>
    <t>Sateesh Kumar</t>
  </si>
  <si>
    <t>Sharad Mishra</t>
  </si>
  <si>
    <t>Sunil Kumar Nischal</t>
  </si>
  <si>
    <t>Ashish Singh</t>
  </si>
  <si>
    <t>Shri Keshan</t>
  </si>
  <si>
    <t>Dheeru Yadav</t>
  </si>
  <si>
    <t>Mohd. Waseem Khan</t>
  </si>
  <si>
    <t>Ajay Kumar Shukla</t>
  </si>
  <si>
    <t>Veeru</t>
  </si>
  <si>
    <t>Km Priyanka Maurya</t>
  </si>
  <si>
    <t>Kamlesh Kumar Verma</t>
  </si>
  <si>
    <t>Vishram Lal</t>
  </si>
  <si>
    <t>Shailesh Kumar</t>
  </si>
  <si>
    <t>Tarkeeb Ali</t>
  </si>
  <si>
    <t>Raghvendra Singh</t>
  </si>
  <si>
    <t>Manoj Kumar Garg</t>
  </si>
  <si>
    <t>Malkhe Ram</t>
  </si>
  <si>
    <t>Madan Lal Rana</t>
  </si>
  <si>
    <t>Mo Nasir</t>
  </si>
  <si>
    <t>Sn</t>
  </si>
  <si>
    <t>Admission Date</t>
  </si>
  <si>
    <t>Adasm-06 Months</t>
  </si>
  <si>
    <t>Adca-12 Months</t>
  </si>
  <si>
    <t>Dca-12 Months</t>
  </si>
  <si>
    <t>Adfa-12 Months</t>
  </si>
  <si>
    <t>Dcs-06 Months</t>
  </si>
  <si>
    <t>Cbt-03 Months</t>
  </si>
  <si>
    <t>Outstanding Fee</t>
  </si>
  <si>
    <t>Status</t>
  </si>
  <si>
    <t>Row Labels</t>
  </si>
  <si>
    <t>Grand Total</t>
  </si>
  <si>
    <t>Column Labels</t>
  </si>
  <si>
    <t>Jan</t>
  </si>
  <si>
    <t>Feb</t>
  </si>
  <si>
    <t>Mar</t>
  </si>
  <si>
    <t>Apr</t>
  </si>
  <si>
    <t>May</t>
  </si>
  <si>
    <t>Jun</t>
  </si>
  <si>
    <t>Jul</t>
  </si>
  <si>
    <t>Aug</t>
  </si>
  <si>
    <t>Sep</t>
  </si>
  <si>
    <t>Oct</t>
  </si>
  <si>
    <t>Nov</t>
  </si>
  <si>
    <t>Dec</t>
  </si>
  <si>
    <t>Sum of Total Fee</t>
  </si>
  <si>
    <t>Sum of Deposit Fee</t>
  </si>
  <si>
    <t>Sum of Outstanding Fee</t>
  </si>
  <si>
    <t>Paid</t>
  </si>
  <si>
    <t>Partially Paid</t>
  </si>
  <si>
    <t>Fee Status</t>
  </si>
  <si>
    <t>Roll_No</t>
  </si>
  <si>
    <t>Admission by State</t>
  </si>
  <si>
    <t>Count of Roll_No</t>
  </si>
  <si>
    <t>Admission by Course</t>
  </si>
  <si>
    <t>Admission by Gender</t>
  </si>
  <si>
    <t>ADMISSION ANALYTICS DASHBOARD</t>
  </si>
  <si>
    <t>Student Admissions, Course &amp; Fee Analysis</t>
  </si>
  <si>
    <t xml:space="preserve"> Total Admission</t>
  </si>
  <si>
    <t>Values</t>
  </si>
  <si>
    <t>Total Admission</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</si>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</sst>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5">
    <font>
      <sz val="11"/>
      <color theme="1"/>
      <name val="Calibri"/>
      <family val="2"/>
      <scheme val="minor"/>
    </font>
    <font>
      <b/>
      <sz val="11"/>
      <color theme="1"/>
      <name val="Calibri"/>
      <family val="2"/>
      <scheme val="minor"/>
    </font>
    <font>
      <sz val="11"/>
      <color indexed="8"/>
      <name val="Calibri"/>
      <family val="2"/>
      <scheme val="minor"/>
    </font>
    <font>
      <b/>
      <sz val="14"/>
      <color theme="1"/>
      <name val="Times New Roman"/>
      <family val="1"/>
    </font>
    <font>
      <sz val="12"/>
      <color theme="1"/>
      <name val="Times New Roman"/>
      <family val="1"/>
    </font>
    <font>
      <sz val="12"/>
      <color rgb="FF000000"/>
      <name val="Times New Roman"/>
      <family val="1"/>
    </font>
    <font>
      <b/>
      <sz val="20"/>
      <color theme="1"/>
      <name val="Adelle Sans Devanagari Regular"/>
    </font>
    <font>
      <b/>
      <sz val="20"/>
      <color theme="1"/>
      <name val="Times New Roman"/>
      <family val="1"/>
    </font>
    <font>
      <b/>
      <sz val="12"/>
      <color theme="1"/>
      <name val="Times New Roman"/>
      <family val="1"/>
    </font>
    <font>
      <sz val="20"/>
      <color theme="1"/>
      <name val="Times New Roman"/>
      <family val="1"/>
    </font>
    <font>
      <b/>
      <sz val="20"/>
      <color theme="0"/>
      <name val="Times New Roman Bold"/>
    </font>
    <font>
      <sz val="11"/>
      <color theme="0"/>
      <name val="Calibri"/>
      <family val="2"/>
      <scheme val="minor"/>
    </font>
    <font>
      <sz val="12"/>
      <color theme="0"/>
      <name val="Times New Roman"/>
      <family val="1"/>
    </font>
    <font>
      <sz val="14"/>
      <color theme="0"/>
      <name val="Times New Roman"/>
      <family val="1"/>
    </font>
    <font>
      <i/>
      <sz val="12"/>
      <color theme="1"/>
      <name val="Times New Roman"/>
      <family val="1"/>
    </font>
  </fonts>
  <fills count="5">
    <fill>
      <patternFill patternType="none"/>
    </fill>
    <fill>
      <patternFill patternType="gray125"/>
    </fill>
    <fill>
      <patternFill patternType="solid">
        <fgColor rgb="FF002060"/>
        <bgColor indexed="64"/>
      </patternFill>
    </fill>
    <fill>
      <patternFill patternType="solid">
        <fgColor theme="7" tint="0.59999389629810485"/>
        <bgColor indexed="64"/>
      </patternFill>
    </fill>
    <fill>
      <patternFill patternType="solid">
        <fgColor theme="1" tint="0.34998626667073579"/>
        <bgColor indexed="64"/>
      </patternFill>
    </fill>
  </fills>
  <borders count="3">
    <border>
      <left/>
      <right/>
      <top/>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s>
  <cellStyleXfs count="2">
    <xf numFmtId="0" fontId="0" fillId="0" borderId="0"/>
    <xf numFmtId="0" fontId="2" fillId="0" borderId="0"/>
  </cellStyleXfs>
  <cellXfs count="34">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left"/>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14" fontId="3" fillId="0" borderId="0" xfId="0" applyNumberFormat="1" applyFont="1" applyAlignment="1">
      <alignment horizontal="center" vertical="center"/>
    </xf>
    <xf numFmtId="14" fontId="4" fillId="0" borderId="0" xfId="0" applyNumberFormat="1" applyFont="1" applyAlignment="1">
      <alignment horizontal="center" vertical="center"/>
    </xf>
    <xf numFmtId="0" fontId="0" fillId="0" borderId="0" xfId="0" pivotButton="1"/>
    <xf numFmtId="0" fontId="0" fillId="0" borderId="0" xfId="0" applyAlignment="1">
      <alignment horizontal="center" vertical="center"/>
    </xf>
    <xf numFmtId="0" fontId="0" fillId="2" borderId="0" xfId="0" applyFill="1"/>
    <xf numFmtId="0" fontId="8" fillId="2" borderId="0" xfId="0" applyFont="1" applyFill="1" applyAlignment="1">
      <alignment horizontal="center" vertical="center"/>
    </xf>
    <xf numFmtId="0" fontId="6" fillId="2" borderId="0" xfId="0" applyFont="1" applyFill="1" applyAlignment="1">
      <alignment horizontal="center" vertical="center"/>
    </xf>
    <xf numFmtId="0" fontId="0" fillId="2" borderId="0" xfId="0" applyFill="1" applyAlignment="1">
      <alignment horizontal="center" vertical="center"/>
    </xf>
    <xf numFmtId="0" fontId="4" fillId="2" borderId="0" xfId="0" applyFont="1" applyFill="1" applyAlignment="1">
      <alignment horizontal="center" vertical="center"/>
    </xf>
    <xf numFmtId="0" fontId="4" fillId="2" borderId="0" xfId="0" applyFont="1" applyFill="1"/>
    <xf numFmtId="0" fontId="7" fillId="2" borderId="0" xfId="0" applyFont="1" applyFill="1" applyAlignment="1">
      <alignment horizontal="center" vertical="center"/>
    </xf>
    <xf numFmtId="164" fontId="7" fillId="2" borderId="0" xfId="0" applyNumberFormat="1" applyFont="1" applyFill="1" applyAlignment="1">
      <alignment horizontal="center" vertical="center"/>
    </xf>
    <xf numFmtId="164" fontId="9" fillId="2" borderId="0" xfId="0" applyNumberFormat="1" applyFont="1" applyFill="1" applyAlignment="1">
      <alignment horizontal="center" vertical="center"/>
    </xf>
    <xf numFmtId="0" fontId="10" fillId="2" borderId="0" xfId="0" applyFont="1" applyFill="1" applyAlignment="1">
      <alignment horizontal="center"/>
    </xf>
    <xf numFmtId="0" fontId="11" fillId="2" borderId="0" xfId="0" applyFont="1" applyFill="1" applyAlignment="1">
      <alignment horizontal="center"/>
    </xf>
    <xf numFmtId="0" fontId="12" fillId="2" borderId="0" xfId="0" applyFont="1" applyFill="1" applyAlignment="1">
      <alignment horizontal="center"/>
    </xf>
    <xf numFmtId="0" fontId="11" fillId="0" borderId="0" xfId="0" applyFont="1"/>
    <xf numFmtId="0" fontId="7" fillId="3" borderId="2" xfId="0" applyFont="1" applyFill="1" applyBorder="1" applyAlignment="1">
      <alignment horizontal="center" vertical="center"/>
    </xf>
    <xf numFmtId="164" fontId="7" fillId="3" borderId="2" xfId="0" applyNumberFormat="1" applyFont="1" applyFill="1" applyBorder="1" applyAlignment="1">
      <alignment horizontal="center" vertical="center"/>
    </xf>
    <xf numFmtId="0" fontId="14" fillId="0" borderId="1" xfId="0" applyFont="1" applyBorder="1" applyAlignment="1">
      <alignment horizontal="center" vertical="center"/>
    </xf>
    <xf numFmtId="164" fontId="0" fillId="0" borderId="0" xfId="0" applyNumberFormat="1"/>
    <xf numFmtId="0" fontId="0" fillId="0" borderId="0" xfId="0" applyNumberFormat="1"/>
    <xf numFmtId="0" fontId="0" fillId="2" borderId="0" xfId="0" applyFill="1" applyAlignment="1">
      <alignment horizontal="centerContinuous"/>
    </xf>
    <xf numFmtId="0" fontId="10" fillId="2" borderId="0" xfId="0" applyFont="1" applyFill="1" applyAlignment="1">
      <alignment horizontal="centerContinuous"/>
    </xf>
    <xf numFmtId="0" fontId="11" fillId="2" borderId="0" xfId="0" applyFont="1" applyFill="1" applyAlignment="1">
      <alignment horizontal="centerContinuous"/>
    </xf>
    <xf numFmtId="0" fontId="11" fillId="4" borderId="0" xfId="0" applyFont="1" applyFill="1" applyAlignment="1">
      <alignment horizontal="centerContinuous"/>
    </xf>
    <xf numFmtId="0" fontId="13" fillId="2" borderId="0" xfId="0" applyFont="1" applyFill="1" applyAlignment="1">
      <alignment horizontal="centerContinuous"/>
    </xf>
  </cellXfs>
  <cellStyles count="2">
    <cellStyle name="Normal" xfId="0" builtinId="0"/>
    <cellStyle name="Normal 2" xfId="1" xr:uid="{00000000-0005-0000-0000-000001000000}"/>
  </cellStyles>
  <dxfs count="25">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color rgb="FF9C0006"/>
      </font>
      <fill>
        <patternFill>
          <bgColor rgb="FFFFC7CE"/>
        </patternFill>
      </fill>
    </dxf>
    <dxf>
      <font>
        <color rgb="FF9C0006"/>
      </font>
      <fill>
        <patternFill>
          <bgColor rgb="FFFFC7CE"/>
        </patternFill>
      </fill>
    </dxf>
    <dxf>
      <numFmt numFmtId="164" formatCode="&quot;₹&quot;#,##0.0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65" formatCode="dd/mm/yy"/>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65" formatCode="dd/mm/yy"/>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Times New Roman"/>
        <family val="1"/>
        <scheme val="none"/>
      </font>
      <alignment horizontal="center" vertical="center" textRotation="0" wrapText="0" indent="0" justifyLastLine="0" shrinkToFit="0" readingOrder="0"/>
    </dxf>
  </dxfs>
  <tableStyles count="0" defaultTableStyle="TableStyleMedium2" defaultPivotStyle="PivotStyleLight16"/>
  <colors>
    <mruColors>
      <color rgb="FF7CD300"/>
      <color rgb="FFF23500"/>
      <color rgb="FF0B0C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Analysis!PivotTable1</c:name>
    <c:fmtId val="1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b="1" i="0" u="none" strike="noStrike" baseline="0">
                <a:latin typeface="Times New Roman" panose="02020603050405020304" pitchFamily="18" charset="0"/>
                <a:cs typeface="Times New Roman" panose="02020603050405020304" pitchFamily="18" charset="0"/>
              </a:rPr>
              <a:t>Admission by Course </a:t>
            </a:r>
            <a:endParaRPr lang="en-US" sz="11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alpha val="94862"/>
            </a:srgbClr>
          </a:solidFill>
          <a:ln>
            <a:solidFill>
              <a:schemeClr val="accent1">
                <a:alpha val="95000"/>
              </a:schemeClr>
            </a:solidFill>
          </a:ln>
          <a:effectLst>
            <a:outerShdw blurRad="50800" dist="38100" dir="5400000" algn="t" rotWithShape="0">
              <a:schemeClr val="tx1">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c:v>
                </c:pt>
              </c:strCache>
            </c:strRef>
          </c:tx>
          <c:spPr>
            <a:solidFill>
              <a:srgbClr val="00B0F0">
                <a:alpha val="94862"/>
              </a:srgbClr>
            </a:solidFill>
            <a:ln>
              <a:solidFill>
                <a:schemeClr val="accent1">
                  <a:alpha val="95000"/>
                </a:schemeClr>
              </a:solidFill>
            </a:ln>
            <a:effectLst>
              <a:outerShdw blurRad="50800" dist="38100" dir="5400000" algn="t" rotWithShape="0">
                <a:schemeClr val="tx1">
                  <a:alpha val="4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Analysis'!$A$4:$A$10</c:f>
              <c:strCache>
                <c:ptCount val="6"/>
                <c:pt idx="0">
                  <c:v>Dcs-06 Months</c:v>
                </c:pt>
                <c:pt idx="1">
                  <c:v>Cbt-03 Months</c:v>
                </c:pt>
                <c:pt idx="2">
                  <c:v>Dca-12 Months</c:v>
                </c:pt>
                <c:pt idx="3">
                  <c:v>Adca-12 Months</c:v>
                </c:pt>
                <c:pt idx="4">
                  <c:v>Adasm-06 Months</c:v>
                </c:pt>
                <c:pt idx="5">
                  <c:v>Adfa-12 Months</c:v>
                </c:pt>
              </c:strCache>
            </c:strRef>
          </c:cat>
          <c:val>
            <c:numRef>
              <c:f>'Pivot Analysis'!$B$4:$B$10</c:f>
              <c:numCache>
                <c:formatCode>General</c:formatCode>
                <c:ptCount val="6"/>
                <c:pt idx="0">
                  <c:v>9</c:v>
                </c:pt>
                <c:pt idx="1">
                  <c:v>76</c:v>
                </c:pt>
                <c:pt idx="2">
                  <c:v>122</c:v>
                </c:pt>
                <c:pt idx="3">
                  <c:v>148</c:v>
                </c:pt>
                <c:pt idx="4">
                  <c:v>160</c:v>
                </c:pt>
                <c:pt idx="5">
                  <c:v>410</c:v>
                </c:pt>
              </c:numCache>
            </c:numRef>
          </c:val>
          <c:extLst>
            <c:ext xmlns:c16="http://schemas.microsoft.com/office/drawing/2014/chart" uri="{C3380CC4-5D6E-409C-BE32-E72D297353CC}">
              <c16:uniqueId val="{00000000-F74E-1647-B272-F79464FAD9E1}"/>
            </c:ext>
          </c:extLst>
        </c:ser>
        <c:dLbls>
          <c:showLegendKey val="0"/>
          <c:showVal val="0"/>
          <c:showCatName val="0"/>
          <c:showSerName val="0"/>
          <c:showPercent val="0"/>
          <c:showBubbleSize val="0"/>
        </c:dLbls>
        <c:gapWidth val="219"/>
        <c:overlap val="-27"/>
        <c:axId val="804942079"/>
        <c:axId val="804932223"/>
      </c:barChart>
      <c:catAx>
        <c:axId val="80494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804932223"/>
        <c:crosses val="autoZero"/>
        <c:auto val="1"/>
        <c:lblAlgn val="ctr"/>
        <c:lblOffset val="100"/>
        <c:noMultiLvlLbl val="0"/>
      </c:catAx>
      <c:valAx>
        <c:axId val="804932223"/>
        <c:scaling>
          <c:logBase val="10"/>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80494207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flip="none" rotWithShape="1">
        <a:gsLst>
          <a:gs pos="0">
            <a:schemeClr val="accent3">
              <a:lumMod val="89000"/>
            </a:schemeClr>
          </a:gs>
          <a:gs pos="29000">
            <a:schemeClr val="accent3">
              <a:alpha val="90000"/>
              <a:lumMod val="86000"/>
            </a:schemeClr>
          </a:gs>
          <a:gs pos="69000">
            <a:schemeClr val="accent3">
              <a:lumMod val="75000"/>
            </a:schemeClr>
          </a:gs>
          <a:gs pos="97000">
            <a:schemeClr val="accent3">
              <a:lumMod val="70000"/>
            </a:schemeClr>
          </a:gs>
        </a:gsLst>
        <a:path path="circle">
          <a:fillToRect l="100000" t="100000"/>
        </a:path>
        <a:tileRect r="-100000" b="-100000"/>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Analysis!PivotTable2</c:name>
    <c:fmtId val="2"/>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100" b="1">
                <a:latin typeface="Times New Roman" panose="02020603050405020304" pitchFamily="18" charset="0"/>
                <a:cs typeface="Times New Roman" panose="02020603050405020304" pitchFamily="18" charset="0"/>
              </a:rPr>
              <a:t>Admission by Gender</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95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1"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9525">
            <a:noFill/>
          </a:ln>
          <a:effectLst/>
        </c:spPr>
      </c:pivotFmt>
      <c:pivotFmt>
        <c:idx val="6"/>
        <c:spPr>
          <a:solidFill>
            <a:schemeClr val="accent1"/>
          </a:solidFill>
          <a:ln w="9525">
            <a:noFill/>
          </a:ln>
          <a:effectLst/>
        </c:spPr>
      </c:pivotFmt>
    </c:pivotFmts>
    <c:plotArea>
      <c:layout/>
      <c:pieChart>
        <c:varyColors val="1"/>
        <c:ser>
          <c:idx val="0"/>
          <c:order val="0"/>
          <c:tx>
            <c:strRef>
              <c:f>'Pivot Analysis'!$B$15</c:f>
              <c:strCache>
                <c:ptCount val="1"/>
                <c:pt idx="0">
                  <c:v>Total</c:v>
                </c:pt>
              </c:strCache>
            </c:strRef>
          </c:tx>
          <c:spPr>
            <a:ln w="9525">
              <a:noFill/>
            </a:ln>
            <a:effectLst/>
          </c:spPr>
          <c:dPt>
            <c:idx val="0"/>
            <c:bubble3D val="0"/>
            <c:spPr>
              <a:solidFill>
                <a:schemeClr val="accent1"/>
              </a:solidFill>
              <a:ln w="9525">
                <a:noFill/>
              </a:ln>
              <a:effectLst/>
            </c:spPr>
            <c:extLst>
              <c:ext xmlns:c16="http://schemas.microsoft.com/office/drawing/2014/chart" uri="{C3380CC4-5D6E-409C-BE32-E72D297353CC}">
                <c16:uniqueId val="{00000001-7A9A-5045-BDEF-50E10A37C717}"/>
              </c:ext>
            </c:extLst>
          </c:dPt>
          <c:dPt>
            <c:idx val="1"/>
            <c:bubble3D val="0"/>
            <c:explosion val="5"/>
            <c:spPr>
              <a:solidFill>
                <a:schemeClr val="accent2"/>
              </a:solidFill>
              <a:ln w="9525">
                <a:noFill/>
              </a:ln>
              <a:effectLst/>
            </c:spPr>
            <c:extLst>
              <c:ext xmlns:c16="http://schemas.microsoft.com/office/drawing/2014/chart" uri="{C3380CC4-5D6E-409C-BE32-E72D297353CC}">
                <c16:uniqueId val="{00000003-7A9A-5045-BDEF-50E10A37C717}"/>
              </c:ext>
            </c:extLst>
          </c:dPt>
          <c:dLbls>
            <c:spPr>
              <a:noFill/>
              <a:ln>
                <a:noFill/>
              </a:ln>
              <a:effectLst/>
            </c:spPr>
            <c:txPr>
              <a:bodyPr rot="0" spcFirstLastPara="1" vertOverflow="ellipsis" vert="horz" wrap="square" lIns="38100" tIns="19050" rIns="38100" bIns="19050" anchor="ctr" anchorCtr="1">
                <a:spAutoFit/>
              </a:bodyPr>
              <a:lstStyle/>
              <a:p>
                <a:pPr>
                  <a:defRPr sz="700" b="1" i="1"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Analysis'!$A$16:$A$18</c:f>
              <c:strCache>
                <c:ptCount val="2"/>
                <c:pt idx="0">
                  <c:v>Female</c:v>
                </c:pt>
                <c:pt idx="1">
                  <c:v>Male</c:v>
                </c:pt>
              </c:strCache>
            </c:strRef>
          </c:cat>
          <c:val>
            <c:numRef>
              <c:f>'Pivot Analysis'!$B$16:$B$18</c:f>
              <c:numCache>
                <c:formatCode>General</c:formatCode>
                <c:ptCount val="2"/>
                <c:pt idx="0">
                  <c:v>345</c:v>
                </c:pt>
                <c:pt idx="1">
                  <c:v>580</c:v>
                </c:pt>
              </c:numCache>
            </c:numRef>
          </c:val>
          <c:extLst>
            <c:ext xmlns:c16="http://schemas.microsoft.com/office/drawing/2014/chart" uri="{C3380CC4-5D6E-409C-BE32-E72D297353CC}">
              <c16:uniqueId val="{00000004-7A9A-5045-BDEF-50E10A37C71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Analysis!PivotTable4</c:name>
    <c:fmtId val="14"/>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100" b="1">
                <a:latin typeface="Times New Roman" panose="02020603050405020304" pitchFamily="18" charset="0"/>
                <a:cs typeface="Times New Roman" panose="02020603050405020304" pitchFamily="18" charset="0"/>
              </a:rPr>
              <a:t>Fee Analysis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Analysis'!$F$3</c:f>
              <c:strCache>
                <c:ptCount val="1"/>
                <c:pt idx="0">
                  <c:v>Total</c:v>
                </c:pt>
              </c:strCache>
            </c:strRef>
          </c:tx>
          <c:spPr>
            <a:solidFill>
              <a:schemeClr val="accent6"/>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Analysis'!$E$4:$E$6</c:f>
              <c:strCache>
                <c:ptCount val="3"/>
                <c:pt idx="0">
                  <c:v>Sum of Outstanding Fee</c:v>
                </c:pt>
                <c:pt idx="1">
                  <c:v>Sum of Deposit Fee</c:v>
                </c:pt>
                <c:pt idx="2">
                  <c:v>Sum of Total Fee</c:v>
                </c:pt>
              </c:strCache>
            </c:strRef>
          </c:cat>
          <c:val>
            <c:numRef>
              <c:f>'Pivot Analysis'!$F$4:$F$6</c:f>
              <c:numCache>
                <c:formatCode>"₹"#,##0.00</c:formatCode>
                <c:ptCount val="3"/>
                <c:pt idx="0">
                  <c:v>446250</c:v>
                </c:pt>
                <c:pt idx="1">
                  <c:v>4720550</c:v>
                </c:pt>
                <c:pt idx="2">
                  <c:v>5166800</c:v>
                </c:pt>
              </c:numCache>
            </c:numRef>
          </c:val>
          <c:extLst>
            <c:ext xmlns:c16="http://schemas.microsoft.com/office/drawing/2014/chart" uri="{C3380CC4-5D6E-409C-BE32-E72D297353CC}">
              <c16:uniqueId val="{00000000-FF1F-4749-881B-1921D521F169}"/>
            </c:ext>
          </c:extLst>
        </c:ser>
        <c:dLbls>
          <c:showLegendKey val="0"/>
          <c:showVal val="0"/>
          <c:showCatName val="0"/>
          <c:showSerName val="0"/>
          <c:showPercent val="0"/>
          <c:showBubbleSize val="0"/>
        </c:dLbls>
        <c:gapWidth val="219"/>
        <c:overlap val="-27"/>
        <c:axId val="1010162239"/>
        <c:axId val="1010161791"/>
      </c:barChart>
      <c:catAx>
        <c:axId val="101016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010161791"/>
        <c:crossesAt val="0"/>
        <c:auto val="1"/>
        <c:lblAlgn val="ctr"/>
        <c:lblOffset val="100"/>
        <c:noMultiLvlLbl val="0"/>
      </c:catAx>
      <c:valAx>
        <c:axId val="1010161791"/>
        <c:scaling>
          <c:orientation val="minMax"/>
        </c:scaling>
        <c:delete val="0"/>
        <c:axPos val="l"/>
        <c:majorGridlines>
          <c:spPr>
            <a:ln w="9525" cap="flat" cmpd="sng" algn="ctr">
              <a:no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16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Analysis!PivotTable5</c:name>
    <c:fmtId val="2"/>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100" b="1">
                <a:latin typeface="Times New Roman" panose="02020603050405020304" pitchFamily="18" charset="0"/>
                <a:cs typeface="Times New Roman" panose="02020603050405020304" pitchFamily="18" charset="0"/>
              </a:rPr>
              <a:t>Admission by Status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7CD300"/>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Analysis'!$F$8</c:f>
              <c:strCache>
                <c:ptCount val="1"/>
                <c:pt idx="0">
                  <c:v>Total</c:v>
                </c:pt>
              </c:strCache>
            </c:strRef>
          </c:tx>
          <c:explosion val="3"/>
          <c:dPt>
            <c:idx val="0"/>
            <c:bubble3D val="0"/>
            <c:spPr>
              <a:solidFill>
                <a:srgbClr val="7CD300"/>
              </a:solidFill>
              <a:ln w="19050">
                <a:solidFill>
                  <a:schemeClr val="lt1"/>
                </a:solidFill>
              </a:ln>
              <a:effectLst/>
            </c:spPr>
            <c:extLst>
              <c:ext xmlns:c16="http://schemas.microsoft.com/office/drawing/2014/chart" uri="{C3380CC4-5D6E-409C-BE32-E72D297353CC}">
                <c16:uniqueId val="{00000001-8A77-7549-B66A-7DEA74A981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77-7549-B66A-7DEA74A9819F}"/>
              </c:ext>
            </c:extLst>
          </c:dPt>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Analysis'!$E$9:$E$11</c:f>
              <c:strCache>
                <c:ptCount val="2"/>
                <c:pt idx="0">
                  <c:v>Paid</c:v>
                </c:pt>
                <c:pt idx="1">
                  <c:v>Partially Paid</c:v>
                </c:pt>
              </c:strCache>
            </c:strRef>
          </c:cat>
          <c:val>
            <c:numRef>
              <c:f>'Pivot Analysis'!$F$9:$F$11</c:f>
              <c:numCache>
                <c:formatCode>General</c:formatCode>
                <c:ptCount val="2"/>
                <c:pt idx="0">
                  <c:v>430</c:v>
                </c:pt>
                <c:pt idx="1">
                  <c:v>495</c:v>
                </c:pt>
              </c:numCache>
            </c:numRef>
          </c:val>
          <c:extLst>
            <c:ext xmlns:c16="http://schemas.microsoft.com/office/drawing/2014/chart" uri="{C3380CC4-5D6E-409C-BE32-E72D297353CC}">
              <c16:uniqueId val="{00000004-8A77-7549-B66A-7DEA74A9819F}"/>
            </c:ext>
          </c:extLst>
        </c:ser>
        <c:dLbls>
          <c:showLegendKey val="0"/>
          <c:showVal val="0"/>
          <c:showCatName val="0"/>
          <c:showSerName val="0"/>
          <c:showPercent val="0"/>
          <c:showBubbleSize val="0"/>
          <c:showLeaderLines val="0"/>
        </c:dLbls>
        <c:firstSliceAng val="66"/>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Analysis!PivotTable6</c:name>
    <c:fmtId val="2"/>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100" b="1">
                <a:latin typeface="Times New Roman" panose="02020603050405020304" pitchFamily="18" charset="0"/>
                <a:cs typeface="Times New Roman" panose="02020603050405020304" pitchFamily="18" charset="0"/>
              </a:rPr>
              <a:t>Admission by State</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pivotFmt>
    </c:pivotFmts>
    <c:plotArea>
      <c:layout/>
      <c:barChart>
        <c:barDir val="bar"/>
        <c:grouping val="clustered"/>
        <c:varyColors val="0"/>
        <c:ser>
          <c:idx val="0"/>
          <c:order val="0"/>
          <c:tx>
            <c:strRef>
              <c:f>'Pivot Analysis'!$F$15</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Analysis'!$E$16:$E$33</c:f>
              <c:strCache>
                <c:ptCount val="17"/>
                <c:pt idx="0">
                  <c:v>Himachal Pradesh</c:v>
                </c:pt>
                <c:pt idx="1">
                  <c:v>Chandigarh</c:v>
                </c:pt>
                <c:pt idx="2">
                  <c:v>Haryana</c:v>
                </c:pt>
                <c:pt idx="3">
                  <c:v>Chhattisgarh</c:v>
                </c:pt>
                <c:pt idx="4">
                  <c:v>Odisha</c:v>
                </c:pt>
                <c:pt idx="5">
                  <c:v>Punjab</c:v>
                </c:pt>
                <c:pt idx="6">
                  <c:v>Jharkhand</c:v>
                </c:pt>
                <c:pt idx="7">
                  <c:v>Goa</c:v>
                </c:pt>
                <c:pt idx="8">
                  <c:v>Rajasthan</c:v>
                </c:pt>
                <c:pt idx="9">
                  <c:v>Uttarakhand</c:v>
                </c:pt>
                <c:pt idx="10">
                  <c:v>Madhya Pradesh</c:v>
                </c:pt>
                <c:pt idx="11">
                  <c:v>West Bengal</c:v>
                </c:pt>
                <c:pt idx="12">
                  <c:v>Gujarat</c:v>
                </c:pt>
                <c:pt idx="13">
                  <c:v>Delhi</c:v>
                </c:pt>
                <c:pt idx="14">
                  <c:v>Bihar</c:v>
                </c:pt>
                <c:pt idx="15">
                  <c:v>Maharashtra</c:v>
                </c:pt>
                <c:pt idx="16">
                  <c:v>Uttar Pradesh</c:v>
                </c:pt>
              </c:strCache>
            </c:strRef>
          </c:cat>
          <c:val>
            <c:numRef>
              <c:f>'Pivot Analysis'!$F$16:$F$33</c:f>
              <c:numCache>
                <c:formatCode>General</c:formatCode>
                <c:ptCount val="17"/>
                <c:pt idx="0">
                  <c:v>11</c:v>
                </c:pt>
                <c:pt idx="1">
                  <c:v>30</c:v>
                </c:pt>
                <c:pt idx="2">
                  <c:v>31</c:v>
                </c:pt>
                <c:pt idx="3">
                  <c:v>32</c:v>
                </c:pt>
                <c:pt idx="4">
                  <c:v>33</c:v>
                </c:pt>
                <c:pt idx="5">
                  <c:v>33</c:v>
                </c:pt>
                <c:pt idx="6">
                  <c:v>39</c:v>
                </c:pt>
                <c:pt idx="7">
                  <c:v>42</c:v>
                </c:pt>
                <c:pt idx="8">
                  <c:v>50</c:v>
                </c:pt>
                <c:pt idx="9">
                  <c:v>50</c:v>
                </c:pt>
                <c:pt idx="10">
                  <c:v>50</c:v>
                </c:pt>
                <c:pt idx="11">
                  <c:v>61</c:v>
                </c:pt>
                <c:pt idx="12">
                  <c:v>63</c:v>
                </c:pt>
                <c:pt idx="13">
                  <c:v>70</c:v>
                </c:pt>
                <c:pt idx="14">
                  <c:v>99</c:v>
                </c:pt>
                <c:pt idx="15">
                  <c:v>112</c:v>
                </c:pt>
                <c:pt idx="16">
                  <c:v>119</c:v>
                </c:pt>
              </c:numCache>
            </c:numRef>
          </c:val>
          <c:extLst>
            <c:ext xmlns:c16="http://schemas.microsoft.com/office/drawing/2014/chart" uri="{C3380CC4-5D6E-409C-BE32-E72D297353CC}">
              <c16:uniqueId val="{00000000-F680-A242-884D-A80E4EF8BDB4}"/>
            </c:ext>
          </c:extLst>
        </c:ser>
        <c:dLbls>
          <c:showLegendKey val="0"/>
          <c:showVal val="0"/>
          <c:showCatName val="0"/>
          <c:showSerName val="0"/>
          <c:showPercent val="0"/>
          <c:showBubbleSize val="0"/>
        </c:dLbls>
        <c:gapWidth val="182"/>
        <c:axId val="1041931263"/>
        <c:axId val="1049118015"/>
      </c:barChart>
      <c:catAx>
        <c:axId val="1041931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049118015"/>
        <c:crosses val="autoZero"/>
        <c:auto val="1"/>
        <c:lblAlgn val="ctr"/>
        <c:lblOffset val="100"/>
        <c:noMultiLvlLbl val="0"/>
      </c:catAx>
      <c:valAx>
        <c:axId val="1049118015"/>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04193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Analysis!PivotTable7</c:name>
    <c:fmtId val="3"/>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100" b="1">
                <a:latin typeface="Times New Roman" panose="02020603050405020304" pitchFamily="18" charset="0"/>
                <a:cs typeface="Times New Roman" panose="02020603050405020304" pitchFamily="18" charset="0"/>
              </a:rPr>
              <a:t>Course-wise Gender Distribution</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997721416192824E-2"/>
          <c:y val="0.15675426880523513"/>
          <c:w val="0.79929650932883567"/>
          <c:h val="0.69232689255174396"/>
        </c:manualLayout>
      </c:layout>
      <c:barChart>
        <c:barDir val="col"/>
        <c:grouping val="stacked"/>
        <c:varyColors val="0"/>
        <c:ser>
          <c:idx val="0"/>
          <c:order val="0"/>
          <c:tx>
            <c:strRef>
              <c:f>'Pivot Analysis'!$L$5:$L$6</c:f>
              <c:strCache>
                <c:ptCount val="1"/>
                <c:pt idx="0">
                  <c:v>Female</c:v>
                </c:pt>
              </c:strCache>
            </c:strRef>
          </c:tx>
          <c:spPr>
            <a:solidFill>
              <a:srgbClr val="FF0000"/>
            </a:solidFill>
            <a:ln>
              <a:noFill/>
            </a:ln>
            <a:effectLst/>
          </c:spPr>
          <c:invertIfNegative val="0"/>
          <c:cat>
            <c:strRef>
              <c:f>'Pivot Analysis'!$K$7:$K$13</c:f>
              <c:strCache>
                <c:ptCount val="6"/>
                <c:pt idx="0">
                  <c:v>Adasm-06 Months</c:v>
                </c:pt>
                <c:pt idx="1">
                  <c:v>Adca-12 Months</c:v>
                </c:pt>
                <c:pt idx="2">
                  <c:v>Adfa-12 Months</c:v>
                </c:pt>
                <c:pt idx="3">
                  <c:v>Cbt-03 Months</c:v>
                </c:pt>
                <c:pt idx="4">
                  <c:v>Dca-12 Months</c:v>
                </c:pt>
                <c:pt idx="5">
                  <c:v>Dcs-06 Months</c:v>
                </c:pt>
              </c:strCache>
            </c:strRef>
          </c:cat>
          <c:val>
            <c:numRef>
              <c:f>'Pivot Analysis'!$L$7:$L$13</c:f>
              <c:numCache>
                <c:formatCode>General</c:formatCode>
                <c:ptCount val="6"/>
                <c:pt idx="0">
                  <c:v>59</c:v>
                </c:pt>
                <c:pt idx="1">
                  <c:v>51</c:v>
                </c:pt>
                <c:pt idx="2">
                  <c:v>157</c:v>
                </c:pt>
                <c:pt idx="3">
                  <c:v>30</c:v>
                </c:pt>
                <c:pt idx="4">
                  <c:v>44</c:v>
                </c:pt>
                <c:pt idx="5">
                  <c:v>4</c:v>
                </c:pt>
              </c:numCache>
            </c:numRef>
          </c:val>
          <c:extLst>
            <c:ext xmlns:c16="http://schemas.microsoft.com/office/drawing/2014/chart" uri="{C3380CC4-5D6E-409C-BE32-E72D297353CC}">
              <c16:uniqueId val="{00000000-433C-C44A-BF97-592A03A82FE4}"/>
            </c:ext>
          </c:extLst>
        </c:ser>
        <c:ser>
          <c:idx val="1"/>
          <c:order val="1"/>
          <c:tx>
            <c:strRef>
              <c:f>'Pivot Analysis'!$M$5:$M$6</c:f>
              <c:strCache>
                <c:ptCount val="1"/>
                <c:pt idx="0">
                  <c:v>Male</c:v>
                </c:pt>
              </c:strCache>
            </c:strRef>
          </c:tx>
          <c:spPr>
            <a:solidFill>
              <a:srgbClr val="0070C0"/>
            </a:solidFill>
            <a:ln>
              <a:noFill/>
            </a:ln>
            <a:effectLst/>
          </c:spPr>
          <c:invertIfNegative val="0"/>
          <c:cat>
            <c:strRef>
              <c:f>'Pivot Analysis'!$K$7:$K$13</c:f>
              <c:strCache>
                <c:ptCount val="6"/>
                <c:pt idx="0">
                  <c:v>Adasm-06 Months</c:v>
                </c:pt>
                <c:pt idx="1">
                  <c:v>Adca-12 Months</c:v>
                </c:pt>
                <c:pt idx="2">
                  <c:v>Adfa-12 Months</c:v>
                </c:pt>
                <c:pt idx="3">
                  <c:v>Cbt-03 Months</c:v>
                </c:pt>
                <c:pt idx="4">
                  <c:v>Dca-12 Months</c:v>
                </c:pt>
                <c:pt idx="5">
                  <c:v>Dcs-06 Months</c:v>
                </c:pt>
              </c:strCache>
            </c:strRef>
          </c:cat>
          <c:val>
            <c:numRef>
              <c:f>'Pivot Analysis'!$M$7:$M$13</c:f>
              <c:numCache>
                <c:formatCode>General</c:formatCode>
                <c:ptCount val="6"/>
                <c:pt idx="0">
                  <c:v>101</c:v>
                </c:pt>
                <c:pt idx="1">
                  <c:v>97</c:v>
                </c:pt>
                <c:pt idx="2">
                  <c:v>253</c:v>
                </c:pt>
                <c:pt idx="3">
                  <c:v>46</c:v>
                </c:pt>
                <c:pt idx="4">
                  <c:v>78</c:v>
                </c:pt>
                <c:pt idx="5">
                  <c:v>5</c:v>
                </c:pt>
              </c:numCache>
            </c:numRef>
          </c:val>
          <c:extLst>
            <c:ext xmlns:c16="http://schemas.microsoft.com/office/drawing/2014/chart" uri="{C3380CC4-5D6E-409C-BE32-E72D297353CC}">
              <c16:uniqueId val="{00000001-D426-41BB-865A-FDF9EA223C60}"/>
            </c:ext>
          </c:extLst>
        </c:ser>
        <c:dLbls>
          <c:showLegendKey val="0"/>
          <c:showVal val="0"/>
          <c:showCatName val="0"/>
          <c:showSerName val="0"/>
          <c:showPercent val="0"/>
          <c:showBubbleSize val="0"/>
        </c:dLbls>
        <c:gapWidth val="150"/>
        <c:overlap val="100"/>
        <c:axId val="1053452799"/>
        <c:axId val="1053454591"/>
      </c:barChart>
      <c:catAx>
        <c:axId val="105345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053454591"/>
        <c:crosses val="autoZero"/>
        <c:auto val="1"/>
        <c:lblAlgn val="ctr"/>
        <c:lblOffset val="100"/>
        <c:noMultiLvlLbl val="0"/>
      </c:catAx>
      <c:valAx>
        <c:axId val="1053454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452799"/>
        <c:crosses val="autoZero"/>
        <c:crossBetween val="between"/>
      </c:valAx>
      <c:spPr>
        <a:noFill/>
        <a:ln>
          <a:noFill/>
        </a:ln>
        <a:effectLst/>
      </c:spPr>
    </c:plotArea>
    <c:legend>
      <c:legendPos val="r"/>
      <c:layout>
        <c:manualLayout>
          <c:xMode val="edge"/>
          <c:yMode val="edge"/>
          <c:x val="0.87179058048468039"/>
          <c:y val="0.3673964025160556"/>
          <c:w val="0.12820942615335076"/>
          <c:h val="0.21144424523757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Analysis!PivotTable10</c:name>
    <c:fmtId val="5"/>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100" b="1">
                <a:latin typeface="Times New Roman" panose="02020603050405020304" pitchFamily="18" charset="0"/>
                <a:cs typeface="Times New Roman" panose="02020603050405020304" pitchFamily="18" charset="0"/>
              </a:rPr>
              <a:t>Admission Trend</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tx1"/>
            </a:solidFill>
            <a:round/>
          </a:ln>
          <a:effectLst/>
        </c:spPr>
        <c:marker>
          <c:symbol val="circle"/>
          <c:size val="5"/>
          <c:spPr>
            <a:solidFill>
              <a:schemeClr val="accent1"/>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solidFill>
            <a:round/>
          </a:ln>
          <a:effectLst/>
        </c:spPr>
        <c:marker>
          <c:symbol val="circle"/>
          <c:size val="5"/>
          <c:spPr>
            <a:solidFill>
              <a:schemeClr val="accent1"/>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circle"/>
          <c:size val="5"/>
          <c:spPr>
            <a:solidFill>
              <a:schemeClr val="accent1"/>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Analysis'!$B$22</c:f>
              <c:strCache>
                <c:ptCount val="1"/>
                <c:pt idx="0">
                  <c:v>Total</c:v>
                </c:pt>
              </c:strCache>
            </c:strRef>
          </c:tx>
          <c:spPr>
            <a:ln w="28575" cap="rnd">
              <a:solidFill>
                <a:schemeClr val="tx1"/>
              </a:solidFill>
              <a:round/>
            </a:ln>
            <a:effectLst/>
          </c:spPr>
          <c:marker>
            <c:symbol val="circle"/>
            <c:size val="5"/>
            <c:spPr>
              <a:solidFill>
                <a:schemeClr val="accent1"/>
              </a:solidFill>
              <a:ln w="9525">
                <a:solidFill>
                  <a:srgbClr val="FF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Analysis'!$B$23:$B$35</c:f>
              <c:numCache>
                <c:formatCode>General</c:formatCode>
                <c:ptCount val="12"/>
                <c:pt idx="0">
                  <c:v>85</c:v>
                </c:pt>
                <c:pt idx="1">
                  <c:v>71</c:v>
                </c:pt>
                <c:pt idx="2">
                  <c:v>45</c:v>
                </c:pt>
                <c:pt idx="3">
                  <c:v>61</c:v>
                </c:pt>
                <c:pt idx="4">
                  <c:v>81</c:v>
                </c:pt>
                <c:pt idx="5">
                  <c:v>75</c:v>
                </c:pt>
                <c:pt idx="6">
                  <c:v>105</c:v>
                </c:pt>
                <c:pt idx="7">
                  <c:v>85</c:v>
                </c:pt>
                <c:pt idx="8">
                  <c:v>75</c:v>
                </c:pt>
                <c:pt idx="9">
                  <c:v>80</c:v>
                </c:pt>
                <c:pt idx="10">
                  <c:v>78</c:v>
                </c:pt>
                <c:pt idx="11">
                  <c:v>84</c:v>
                </c:pt>
              </c:numCache>
            </c:numRef>
          </c:val>
          <c:smooth val="0"/>
          <c:extLst>
            <c:ext xmlns:c16="http://schemas.microsoft.com/office/drawing/2014/chart" uri="{C3380CC4-5D6E-409C-BE32-E72D297353CC}">
              <c16:uniqueId val="{00000000-AE9E-6E44-A712-8597AAF05DBE}"/>
            </c:ext>
          </c:extLst>
        </c:ser>
        <c:dLbls>
          <c:showLegendKey val="0"/>
          <c:showVal val="0"/>
          <c:showCatName val="0"/>
          <c:showSerName val="0"/>
          <c:showPercent val="0"/>
          <c:showBubbleSize val="0"/>
        </c:dLbls>
        <c:marker val="1"/>
        <c:smooth val="0"/>
        <c:axId val="1182090559"/>
        <c:axId val="1181710783"/>
      </c:lineChart>
      <c:catAx>
        <c:axId val="118209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710783"/>
        <c:crosses val="autoZero"/>
        <c:auto val="1"/>
        <c:lblAlgn val="ctr"/>
        <c:lblOffset val="100"/>
        <c:noMultiLvlLbl val="0"/>
      </c:catAx>
      <c:valAx>
        <c:axId val="1181710783"/>
        <c:scaling>
          <c:orientation val="minMax"/>
        </c:scaling>
        <c:delete val="1"/>
        <c:axPos val="l"/>
        <c:numFmt formatCode="General" sourceLinked="1"/>
        <c:majorTickMark val="none"/>
        <c:minorTickMark val="none"/>
        <c:tickLblPos val="nextTo"/>
        <c:crossAx val="118209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349956</xdr:colOff>
      <xdr:row>11</xdr:row>
      <xdr:rowOff>63500</xdr:rowOff>
    </xdr:from>
    <xdr:to>
      <xdr:col>6</xdr:col>
      <xdr:colOff>712610</xdr:colOff>
      <xdr:row>17</xdr:row>
      <xdr:rowOff>230666</xdr:rowOff>
    </xdr:to>
    <xdr:graphicFrame macro="">
      <xdr:nvGraphicFramePr>
        <xdr:cNvPr id="3" name="Chart 2">
          <a:extLst>
            <a:ext uri="{FF2B5EF4-FFF2-40B4-BE49-F238E27FC236}">
              <a16:creationId xmlns:a16="http://schemas.microsoft.com/office/drawing/2014/main" id="{D1A04578-8355-CD4F-AB4D-2FB6A4674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11</xdr:col>
      <xdr:colOff>427567</xdr:colOff>
      <xdr:row>11</xdr:row>
      <xdr:rowOff>63500</xdr:rowOff>
    </xdr:from>
    <xdr:to>
      <xdr:col>13</xdr:col>
      <xdr:colOff>582789</xdr:colOff>
      <xdr:row>17</xdr:row>
      <xdr:rowOff>231140</xdr:rowOff>
    </xdr:to>
    <xdr:graphicFrame macro="">
      <xdr:nvGraphicFramePr>
        <xdr:cNvPr id="4" name="Chart 3">
          <a:extLst>
            <a:ext uri="{FF2B5EF4-FFF2-40B4-BE49-F238E27FC236}">
              <a16:creationId xmlns:a16="http://schemas.microsoft.com/office/drawing/2014/main" id="{C7E5E881-47B1-BE49-B717-7892BA68B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349956</xdr:colOff>
      <xdr:row>28</xdr:row>
      <xdr:rowOff>241585</xdr:rowOff>
    </xdr:from>
    <xdr:to>
      <xdr:col>6</xdr:col>
      <xdr:colOff>710975</xdr:colOff>
      <xdr:row>38</xdr:row>
      <xdr:rowOff>1</xdr:rowOff>
    </xdr:to>
    <xdr:graphicFrame macro="">
      <xdr:nvGraphicFramePr>
        <xdr:cNvPr id="6" name="Chart 5">
          <a:extLst>
            <a:ext uri="{FF2B5EF4-FFF2-40B4-BE49-F238E27FC236}">
              <a16:creationId xmlns:a16="http://schemas.microsoft.com/office/drawing/2014/main" id="{1D019B2B-189A-9941-A5CB-06A4D3405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84667</xdr:colOff>
      <xdr:row>11</xdr:row>
      <xdr:rowOff>63500</xdr:rowOff>
    </xdr:from>
    <xdr:to>
      <xdr:col>16</xdr:col>
      <xdr:colOff>547512</xdr:colOff>
      <xdr:row>17</xdr:row>
      <xdr:rowOff>231140</xdr:rowOff>
    </xdr:to>
    <xdr:graphicFrame macro="">
      <xdr:nvGraphicFramePr>
        <xdr:cNvPr id="7" name="Chart 6">
          <a:extLst>
            <a:ext uri="{FF2B5EF4-FFF2-40B4-BE49-F238E27FC236}">
              <a16:creationId xmlns:a16="http://schemas.microsoft.com/office/drawing/2014/main" id="{06F7A547-A217-A245-8051-30A781A58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47866</xdr:colOff>
      <xdr:row>26</xdr:row>
      <xdr:rowOff>197556</xdr:rowOff>
    </xdr:from>
    <xdr:to>
      <xdr:col>12</xdr:col>
      <xdr:colOff>115598</xdr:colOff>
      <xdr:row>38</xdr:row>
      <xdr:rowOff>1</xdr:rowOff>
    </xdr:to>
    <xdr:graphicFrame macro="">
      <xdr:nvGraphicFramePr>
        <xdr:cNvPr id="8" name="Chart 7">
          <a:extLst>
            <a:ext uri="{FF2B5EF4-FFF2-40B4-BE49-F238E27FC236}">
              <a16:creationId xmlns:a16="http://schemas.microsoft.com/office/drawing/2014/main" id="{2121F728-6EED-6E48-B914-7F95CDA2E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603956</xdr:colOff>
      <xdr:row>26</xdr:row>
      <xdr:rowOff>148168</xdr:rowOff>
    </xdr:from>
    <xdr:to>
      <xdr:col>16</xdr:col>
      <xdr:colOff>547512</xdr:colOff>
      <xdr:row>38</xdr:row>
      <xdr:rowOff>1</xdr:rowOff>
    </xdr:to>
    <xdr:graphicFrame macro="">
      <xdr:nvGraphicFramePr>
        <xdr:cNvPr id="9" name="Chart 8">
          <a:extLst>
            <a:ext uri="{FF2B5EF4-FFF2-40B4-BE49-F238E27FC236}">
              <a16:creationId xmlns:a16="http://schemas.microsoft.com/office/drawing/2014/main" id="{77C91859-D960-C34C-ADBD-0224E160B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181441</xdr:colOff>
      <xdr:row>20</xdr:row>
      <xdr:rowOff>18982</xdr:rowOff>
    </xdr:from>
    <xdr:to>
      <xdr:col>16</xdr:col>
      <xdr:colOff>547512</xdr:colOff>
      <xdr:row>24</xdr:row>
      <xdr:rowOff>122382</xdr:rowOff>
    </xdr:to>
    <mc:AlternateContent xmlns:mc="http://schemas.openxmlformats.org/markup-compatibility/2006" xmlns:a14="http://schemas.microsoft.com/office/drawing/2010/main">
      <mc:Choice Requires="a14">
        <xdr:graphicFrame macro="">
          <xdr:nvGraphicFramePr>
            <xdr:cNvPr id="12" name="Course">
              <a:extLst>
                <a:ext uri="{FF2B5EF4-FFF2-40B4-BE49-F238E27FC236}">
                  <a16:creationId xmlns:a16="http://schemas.microsoft.com/office/drawing/2014/main" id="{40F4AC21-737A-FC47-BD04-4A07794870F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17020700" y="5365525"/>
              <a:ext cx="2984466" cy="11068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577652</xdr:colOff>
      <xdr:row>20</xdr:row>
      <xdr:rowOff>131536</xdr:rowOff>
    </xdr:from>
    <xdr:to>
      <xdr:col>7</xdr:col>
      <xdr:colOff>1541571</xdr:colOff>
      <xdr:row>24</xdr:row>
      <xdr:rowOff>9828</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09D871BE-31BE-274C-9056-F2037F099A0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17529" y="5478079"/>
              <a:ext cx="2124165" cy="8817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349956</xdr:colOff>
      <xdr:row>19</xdr:row>
      <xdr:rowOff>205951</xdr:rowOff>
    </xdr:from>
    <xdr:to>
      <xdr:col>5</xdr:col>
      <xdr:colOff>759617</xdr:colOff>
      <xdr:row>26</xdr:row>
      <xdr:rowOff>53939</xdr:rowOff>
    </xdr:to>
    <mc:AlternateContent xmlns:mc="http://schemas.openxmlformats.org/markup-compatibility/2006" xmlns:a14="http://schemas.microsoft.com/office/drawing/2010/main">
      <mc:Choice Requires="a14">
        <xdr:graphicFrame macro="">
          <xdr:nvGraphicFramePr>
            <xdr:cNvPr id="14" name="State">
              <a:extLst>
                <a:ext uri="{FF2B5EF4-FFF2-40B4-BE49-F238E27FC236}">
                  <a16:creationId xmlns:a16="http://schemas.microsoft.com/office/drawing/2014/main" id="{C522B584-21F4-4340-8AD4-2CD33364F69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266252" y="5301630"/>
              <a:ext cx="3561143" cy="16040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191206</xdr:colOff>
      <xdr:row>20</xdr:row>
      <xdr:rowOff>119457</xdr:rowOff>
    </xdr:from>
    <xdr:to>
      <xdr:col>10</xdr:col>
      <xdr:colOff>362390</xdr:colOff>
      <xdr:row>24</xdr:row>
      <xdr:rowOff>21907</xdr:rowOff>
    </xdr:to>
    <mc:AlternateContent xmlns:mc="http://schemas.openxmlformats.org/markup-compatibility/2006" xmlns:a14="http://schemas.microsoft.com/office/drawing/2010/main">
      <mc:Choice Requires="a14">
        <xdr:graphicFrame macro="">
          <xdr:nvGraphicFramePr>
            <xdr:cNvPr id="15" name="Status">
              <a:extLst>
                <a:ext uri="{FF2B5EF4-FFF2-40B4-BE49-F238E27FC236}">
                  <a16:creationId xmlns:a16="http://schemas.microsoft.com/office/drawing/2014/main" id="{E3ECE110-870D-1544-B2F6-8B57C0B3C7B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523675" y="5466000"/>
              <a:ext cx="2115382" cy="9059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45155</xdr:colOff>
      <xdr:row>11</xdr:row>
      <xdr:rowOff>63500</xdr:rowOff>
    </xdr:from>
    <xdr:to>
      <xdr:col>10</xdr:col>
      <xdr:colOff>485422</xdr:colOff>
      <xdr:row>17</xdr:row>
      <xdr:rowOff>250679</xdr:rowOff>
    </xdr:to>
    <xdr:graphicFrame macro="">
      <xdr:nvGraphicFramePr>
        <xdr:cNvPr id="22" name="Chart 21">
          <a:extLst>
            <a:ext uri="{FF2B5EF4-FFF2-40B4-BE49-F238E27FC236}">
              <a16:creationId xmlns:a16="http://schemas.microsoft.com/office/drawing/2014/main" id="{21FFDB31-BAEA-B644-9742-A05BB039B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603758</xdr:colOff>
      <xdr:row>19</xdr:row>
      <xdr:rowOff>243039</xdr:rowOff>
    </xdr:from>
    <xdr:to>
      <xdr:col>13</xdr:col>
      <xdr:colOff>380337</xdr:colOff>
      <xdr:row>24</xdr:row>
      <xdr:rowOff>152326</xdr:rowOff>
    </xdr:to>
    <mc:AlternateContent xmlns:mc="http://schemas.openxmlformats.org/markup-compatibility/2006" xmlns:a14="http://schemas.microsoft.com/office/drawing/2010/main">
      <mc:Choice Requires="a14">
        <xdr:graphicFrame macro="">
          <xdr:nvGraphicFramePr>
            <xdr:cNvPr id="23" name="Month">
              <a:extLst>
                <a:ext uri="{FF2B5EF4-FFF2-40B4-BE49-F238E27FC236}">
                  <a16:creationId xmlns:a16="http://schemas.microsoft.com/office/drawing/2014/main" id="{0F621823-DA8A-1547-B9A4-2955B0554DF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429190" y="5338718"/>
              <a:ext cx="2818307" cy="116360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it Barua" refreshedDate="46248.91950891204" createdVersion="8" refreshedVersion="8" minRefreshableVersion="3" recordCount="925" xr:uid="{025B3E5B-2BCC-7D42-B5E9-49C500F02870}">
  <cacheSource type="worksheet">
    <worksheetSource name="student_data"/>
  </cacheSource>
  <cacheFields count="15">
    <cacheField name="Sn" numFmtId="0">
      <sharedItems containsSemiMixedTypes="0" containsString="0" containsNumber="1" containsInteger="1" minValue="1" maxValue="925"/>
    </cacheField>
    <cacheField name="Roll_No" numFmtId="0">
      <sharedItems containsSemiMixedTypes="0" containsString="0" containsNumber="1" containsInteger="1" minValue="18001" maxValue="18925"/>
    </cacheField>
    <cacheField name="Name" numFmtId="0">
      <sharedItems/>
    </cacheField>
    <cacheField name="Father" numFmtId="0">
      <sharedItems/>
    </cacheField>
    <cacheField name="Gender" numFmtId="0">
      <sharedItems count="2">
        <s v="Male"/>
        <s v="Female"/>
      </sharedItems>
    </cacheField>
    <cacheField name="Course" numFmtId="0">
      <sharedItems count="6">
        <s v="Adasm-06 Months"/>
        <s v="Adca-12 Months"/>
        <s v="Dca-12 Months"/>
        <s v="Adfa-12 Months"/>
        <s v="Dcs-06 Months"/>
        <s v="Cbt-03 Months"/>
      </sharedItems>
    </cacheField>
    <cacheField name="Admission Date" numFmtId="14">
      <sharedItems containsSemiMixedTypes="0" containsNonDate="0" containsDate="1" containsString="0" minDate="2024-01-01T00:00:00" maxDate="2025-01-01T00:00:00" count="300">
        <d v="2024-01-01T00:00:00"/>
        <d v="2024-01-02T00:00:00"/>
        <d v="2024-01-03T00:00:00"/>
        <d v="2024-01-04T00:00:00"/>
        <d v="2024-01-05T00:00:00"/>
        <d v="2024-01-06T00:00:00"/>
        <d v="2024-01-08T00:00:00"/>
        <d v="2024-01-09T00:00:00"/>
        <d v="2024-01-10T00:00:00"/>
        <d v="2024-01-11T00:00:00"/>
        <d v="2024-01-12T00:00:00"/>
        <d v="2024-01-13T00:00:00"/>
        <d v="2024-01-15T00:00:00"/>
        <d v="2024-01-16T00:00:00"/>
        <d v="2024-01-17T00:00:00"/>
        <d v="2024-01-18T00:00:00"/>
        <d v="2024-01-19T00:00:00"/>
        <d v="2024-01-20T00:00:00"/>
        <d v="2024-01-22T00:00:00"/>
        <d v="2024-01-23T00:00:00"/>
        <d v="2024-01-24T00:00:00"/>
        <d v="2024-01-25T00:00:00"/>
        <d v="2024-01-26T00:00:00"/>
        <d v="2024-01-27T00:00:00"/>
        <d v="2024-01-29T00:00:00"/>
        <d v="2024-01-30T00:00:00"/>
        <d v="2024-01-31T00:00:00"/>
        <d v="2024-02-02T00:00:00"/>
        <d v="2024-02-03T00:00:00"/>
        <d v="2024-02-05T00:00:00"/>
        <d v="2024-02-06T00:00:00"/>
        <d v="2024-02-07T00:00:00"/>
        <d v="2024-02-08T00:00:00"/>
        <d v="2024-02-09T00:00:00"/>
        <d v="2024-02-10T00:00:00"/>
        <d v="2024-02-12T00:00:00"/>
        <d v="2024-02-13T00:00:00"/>
        <d v="2024-02-14T00:00:00"/>
        <d v="2024-02-15T00:00:00"/>
        <d v="2024-02-16T00:00:00"/>
        <d v="2024-02-17T00:00:00"/>
        <d v="2024-02-19T00:00:00"/>
        <d v="2024-02-20T00:00:00"/>
        <d v="2024-02-21T00:00:00"/>
        <d v="2024-02-22T00:00:00"/>
        <d v="2024-02-23T00:00:00"/>
        <d v="2024-02-24T00:00:00"/>
        <d v="2024-02-26T00:00:00"/>
        <d v="2024-02-27T00:00:00"/>
        <d v="2024-02-28T00:00:00"/>
        <d v="2024-03-01T00:00:00"/>
        <d v="2024-03-02T00:00:00"/>
        <d v="2024-03-04T00:00:00"/>
        <d v="2024-03-05T00:00:00"/>
        <d v="2024-03-09T00:00:00"/>
        <d v="2024-03-11T00:00:00"/>
        <d v="2024-03-12T00:00:00"/>
        <d v="2024-03-13T00:00:00"/>
        <d v="2024-03-18T00:00:00"/>
        <d v="2024-03-19T00:00:00"/>
        <d v="2024-03-20T00:00:00"/>
        <d v="2024-03-21T00:00:00"/>
        <d v="2024-03-25T00:00:00"/>
        <d v="2024-03-26T00:00:00"/>
        <d v="2024-03-27T00:00:00"/>
        <d v="2024-03-28T00:00:00"/>
        <d v="2024-03-29T00:00:00"/>
        <d v="2024-03-30T00:00:00"/>
        <d v="2024-04-01T00:00:00"/>
        <d v="2024-04-02T00:00:00"/>
        <d v="2024-04-03T00:00:00"/>
        <d v="2024-04-06T00:00:00"/>
        <d v="2024-04-08T00:00:00"/>
        <d v="2024-04-09T00:00:00"/>
        <d v="2024-04-10T00:00:00"/>
        <d v="2024-04-11T00:00:00"/>
        <d v="2024-04-12T00:00:00"/>
        <d v="2024-04-13T00:00:00"/>
        <d v="2024-04-16T00:00:00"/>
        <d v="2024-04-17T00:00:00"/>
        <d v="2024-04-18T00:00:00"/>
        <d v="2024-04-19T00:00:00"/>
        <d v="2024-04-20T00:00:00"/>
        <d v="2024-04-22T00:00:00"/>
        <d v="2024-04-23T00:00:00"/>
        <d v="2024-04-24T00:00:00"/>
        <d v="2024-04-25T00:00:00"/>
        <d v="2024-04-27T00:00:00"/>
        <d v="2024-04-29T00:00:00"/>
        <d v="2024-04-30T00:00:00"/>
        <d v="2024-05-01T00:00:00"/>
        <d v="2024-05-02T00:00:00"/>
        <d v="2024-05-03T00:00:00"/>
        <d v="2024-05-04T00:00:00"/>
        <d v="2024-05-06T00:00:00"/>
        <d v="2024-05-07T00:00:00"/>
        <d v="2024-05-08T00:00:00"/>
        <d v="2024-05-09T00:00:00"/>
        <d v="2024-05-10T00:00:00"/>
        <d v="2024-05-11T00:00:00"/>
        <d v="2024-05-13T00:00:00"/>
        <d v="2024-05-14T00:00:00"/>
        <d v="2024-05-15T00:00:00"/>
        <d v="2024-05-16T00:00:00"/>
        <d v="2024-05-17T00:00:00"/>
        <d v="2024-05-18T00:00:00"/>
        <d v="2024-05-20T00:00:00"/>
        <d v="2024-05-21T00:00:00"/>
        <d v="2024-05-22T00:00:00"/>
        <d v="2024-05-23T00:00:00"/>
        <d v="2024-05-24T00:00:00"/>
        <d v="2024-05-25T00:00:00"/>
        <d v="2024-05-27T00:00:00"/>
        <d v="2024-05-28T00:00:00"/>
        <d v="2024-05-29T00:00:00"/>
        <d v="2024-05-30T00:00:00"/>
        <d v="2024-05-31T00:00:00"/>
        <d v="2024-06-01T00:00:00"/>
        <d v="2024-06-03T00:00:00"/>
        <d v="2024-06-04T00:00:00"/>
        <d v="2024-06-05T00:00:00"/>
        <d v="2024-06-06T00:00:00"/>
        <d v="2024-06-07T00:00:00"/>
        <d v="2024-06-08T00:00:00"/>
        <d v="2024-06-10T00:00:00"/>
        <d v="2024-06-11T00:00:00"/>
        <d v="2024-06-12T00:00:00"/>
        <d v="2024-06-13T00:00:00"/>
        <d v="2024-06-14T00:00:00"/>
        <d v="2024-06-15T00:00:00"/>
        <d v="2024-06-17T00:00:00"/>
        <d v="2024-06-18T00:00:00"/>
        <d v="2024-06-19T00:00:00"/>
        <d v="2024-06-20T00:00:00"/>
        <d v="2024-06-21T00:00:00"/>
        <d v="2024-06-22T00:00:00"/>
        <d v="2024-06-24T00:00:00"/>
        <d v="2024-06-25T00:00:00"/>
        <d v="2024-06-26T00:00:00"/>
        <d v="2024-06-27T00:00:00"/>
        <d v="2024-06-28T00:00:00"/>
        <d v="2024-06-29T00:00:00"/>
        <d v="2024-07-01T00:00:00"/>
        <d v="2024-07-02T00:00:00"/>
        <d v="2024-07-03T00:00:00"/>
        <d v="2024-07-04T00:00:00"/>
        <d v="2024-07-05T00:00:00"/>
        <d v="2024-07-06T00:00:00"/>
        <d v="2024-07-08T00:00:00"/>
        <d v="2024-07-09T00:00:00"/>
        <d v="2024-07-10T00:00:00"/>
        <d v="2024-07-11T00:00:00"/>
        <d v="2024-07-12T00:00:00"/>
        <d v="2024-07-13T00:00:00"/>
        <d v="2024-07-15T00:00:00"/>
        <d v="2024-07-16T00:00:00"/>
        <d v="2024-07-17T00:00:00"/>
        <d v="2024-07-18T00:00:00"/>
        <d v="2024-07-19T00:00:00"/>
        <d v="2024-07-20T00:00:00"/>
        <d v="2024-07-22T00:00:00"/>
        <d v="2024-07-23T00:00:00"/>
        <d v="2024-07-24T00:00:00"/>
        <d v="2024-07-25T00:00:00"/>
        <d v="2024-07-26T00:00:00"/>
        <d v="2024-07-27T00:00:00"/>
        <d v="2024-07-29T00:00:00"/>
        <d v="2024-07-30T00:00:00"/>
        <d v="2024-07-31T00:00:00"/>
        <d v="2024-08-01T00:00:00"/>
        <d v="2024-08-02T00:00:00"/>
        <d v="2024-08-03T00:00:00"/>
        <d v="2024-08-05T00:00:00"/>
        <d v="2024-08-06T00:00:00"/>
        <d v="2024-08-07T00:00:00"/>
        <d v="2024-08-08T00:00:00"/>
        <d v="2024-08-09T00:00:00"/>
        <d v="2024-08-10T00:00:00"/>
        <d v="2024-08-12T00:00:00"/>
        <d v="2024-08-13T00:00:00"/>
        <d v="2024-08-14T00:00:00"/>
        <d v="2024-08-15T00:00:00"/>
        <d v="2024-08-16T00:00:00"/>
        <d v="2024-08-17T00:00:00"/>
        <d v="2024-08-19T00:00:00"/>
        <d v="2024-08-20T00:00:00"/>
        <d v="2024-08-21T00:00:00"/>
        <d v="2024-08-22T00:00:00"/>
        <d v="2024-08-23T00:00:00"/>
        <d v="2024-08-24T00:00:00"/>
        <d v="2024-08-26T00:00:00"/>
        <d v="2024-08-27T00:00:00"/>
        <d v="2024-08-28T00:00:00"/>
        <d v="2024-08-29T00:00:00"/>
        <d v="2024-08-30T00:00:00"/>
        <d v="2024-08-31T00:00:00"/>
        <d v="2024-09-02T00:00:00"/>
        <d v="2024-09-03T00:00:00"/>
        <d v="2024-09-04T00:00:00"/>
        <d v="2024-09-05T00:00:00"/>
        <d v="2024-09-06T00:00:00"/>
        <d v="2024-09-07T00:00:00"/>
        <d v="2024-09-09T00:00:00"/>
        <d v="2024-09-10T00:00:00"/>
        <d v="2024-09-11T00:00:00"/>
        <d v="2024-09-12T00:00:00"/>
        <d v="2024-09-13T00:00:00"/>
        <d v="2024-09-14T00:00:00"/>
        <d v="2024-09-16T00:00:00"/>
        <d v="2024-09-17T00:00:00"/>
        <d v="2024-09-18T00:00:00"/>
        <d v="2024-09-19T00:00:00"/>
        <d v="2024-09-20T00:00:00"/>
        <d v="2024-09-21T00:00:00"/>
        <d v="2024-09-23T00:00:00"/>
        <d v="2024-09-24T00:00:00"/>
        <d v="2024-09-25T00:00:00"/>
        <d v="2024-09-26T00:00:00"/>
        <d v="2024-09-27T00:00:00"/>
        <d v="2024-09-28T00:00:00"/>
        <d v="2024-09-30T00:00:00"/>
        <d v="2024-10-01T00:00:00"/>
        <d v="2024-10-02T00:00:00"/>
        <d v="2024-10-03T00:00:00"/>
        <d v="2024-10-04T00:00:00"/>
        <d v="2024-10-05T00:00:00"/>
        <d v="2024-10-07T00:00:00"/>
        <d v="2024-10-08T00:00:00"/>
        <d v="2024-10-09T00:00:00"/>
        <d v="2024-10-10T00:00:00"/>
        <d v="2024-10-11T00:00:00"/>
        <d v="2024-10-12T00:00:00"/>
        <d v="2024-10-14T00:00:00"/>
        <d v="2024-10-15T00:00:00"/>
        <d v="2024-10-16T00:00:00"/>
        <d v="2024-10-17T00:00:00"/>
        <d v="2024-10-18T00:00:00"/>
        <d v="2024-10-19T00:00:00"/>
        <d v="2024-10-21T00:00:00"/>
        <d v="2024-10-22T00:00:00"/>
        <d v="2024-10-23T00:00:00"/>
        <d v="2024-10-24T00:00:00"/>
        <d v="2024-10-25T00:00:00"/>
        <d v="2024-10-26T00:00:00"/>
        <d v="2024-10-28T00:00:00"/>
        <d v="2024-10-29T00:00:00"/>
        <d v="2024-10-30T00:00:00"/>
        <d v="2024-10-31T00:00:00"/>
        <d v="2024-11-01T00:00:00"/>
        <d v="2024-11-02T00:00:00"/>
        <d v="2024-11-04T00:00:00"/>
        <d v="2024-11-05T00:00:00"/>
        <d v="2024-11-06T00:00:00"/>
        <d v="2024-11-07T00:00:00"/>
        <d v="2024-11-08T00:00:00"/>
        <d v="2024-11-09T00:00:00"/>
        <d v="2024-11-11T00:00:00"/>
        <d v="2024-11-12T00:00:00"/>
        <d v="2024-11-13T00:00:00"/>
        <d v="2024-11-14T00:00:00"/>
        <d v="2024-11-15T00:00:00"/>
        <d v="2024-11-16T00:00:00"/>
        <d v="2024-11-18T00:00:00"/>
        <d v="2024-11-19T00:00:00"/>
        <d v="2024-11-20T00:00:00"/>
        <d v="2024-11-21T00:00:00"/>
        <d v="2024-11-22T00:00:00"/>
        <d v="2024-11-23T00:00:00"/>
        <d v="2024-11-25T00:00:00"/>
        <d v="2024-11-26T00:00:00"/>
        <d v="2024-11-27T00:00:00"/>
        <d v="2024-11-28T00:00:00"/>
        <d v="2024-11-29T00:00:00"/>
        <d v="2024-11-30T00:00:00"/>
        <d v="2024-12-02T00:00:00"/>
        <d v="2024-12-03T00:00:00"/>
        <d v="2024-12-04T00:00:00"/>
        <d v="2024-12-05T00:00:00"/>
        <d v="2024-12-06T00:00:00"/>
        <d v="2024-12-07T00:00:00"/>
        <d v="2024-12-09T00:00:00"/>
        <d v="2024-12-10T00:00:00"/>
        <d v="2024-12-11T00:00:00"/>
        <d v="2024-12-12T00:00:00"/>
        <d v="2024-12-13T00:00:00"/>
        <d v="2024-12-14T00:00:00"/>
        <d v="2024-12-16T00:00:00"/>
        <d v="2024-12-17T00:00:00"/>
        <d v="2024-12-18T00:00:00"/>
        <d v="2024-12-19T00:00:00"/>
        <d v="2024-12-20T00:00:00"/>
        <d v="2024-12-21T00:00:00"/>
        <d v="2024-12-23T00:00:00"/>
        <d v="2024-12-24T00:00:00"/>
        <d v="2024-12-25T00:00:00"/>
        <d v="2024-12-26T00:00:00"/>
        <d v="2024-12-27T00:00:00"/>
        <d v="2024-12-28T00:00:00"/>
        <d v="2024-12-30T00:00:00"/>
        <d v="2024-12-31T00:00:00"/>
      </sharedItems>
      <fieldGroup par="14"/>
    </cacheField>
    <cacheField name="Month" numFmtId="14">
      <sharedItems count="12">
        <s v="Jan"/>
        <s v="Feb"/>
        <s v="Mar"/>
        <s v="Apr"/>
        <s v="May"/>
        <s v="Jun"/>
        <s v="Jul"/>
        <s v="Aug"/>
        <s v="Sep"/>
        <s v="Oct"/>
        <s v="Nov"/>
        <s v="Dec"/>
      </sharedItems>
    </cacheField>
    <cacheField name="Total Fee" numFmtId="0">
      <sharedItems containsSemiMixedTypes="0" containsString="0" containsNumber="1" containsInteger="1" minValue="1800" maxValue="7500"/>
    </cacheField>
    <cacheField name="Deposit Fee" numFmtId="0">
      <sharedItems containsSemiMixedTypes="0" containsString="0" containsNumber="1" containsInteger="1" minValue="100" maxValue="7500"/>
    </cacheField>
    <cacheField name="Outstanding Fee" numFmtId="0">
      <sharedItems containsSemiMixedTypes="0" containsString="0" containsNumber="1" containsInteger="1" minValue="0" maxValue="7100"/>
    </cacheField>
    <cacheField name="Status" numFmtId="0">
      <sharedItems count="2">
        <s v="Partially Paid"/>
        <s v="Paid"/>
      </sharedItems>
    </cacheField>
    <cacheField name="State" numFmtId="0">
      <sharedItems count="17">
        <s v="Madhya Pradesh"/>
        <s v="Rajasthan"/>
        <s v="West Bengal"/>
        <s v="Bihar"/>
        <s v="Chhattisgarh"/>
        <s v="Goa"/>
        <s v="Gujarat"/>
        <s v="Haryana"/>
        <s v="Himachal Pradesh"/>
        <s v="Jharkhand"/>
        <s v="Maharashtra"/>
        <s v="Punjab"/>
        <s v="Uttar Pradesh"/>
        <s v="Delhi"/>
        <s v="Uttarakhand"/>
        <s v="Odisha"/>
        <s v="Chandigarh"/>
      </sharedItems>
    </cacheField>
    <cacheField name="Months (Admission Date)" numFmtId="0" databaseField="0">
      <fieldGroup base="6">
        <rangePr groupBy="months" startDate="2024-01-01T00:00:00" endDate="2025-01-01T00:00:00"/>
        <groupItems count="14">
          <s v="&lt;01/01/24"/>
          <s v="Jan"/>
          <s v="Feb"/>
          <s v="Mar"/>
          <s v="Apr"/>
          <s v="May"/>
          <s v="Jun"/>
          <s v="Jul"/>
          <s v="Aug"/>
          <s v="Sep"/>
          <s v="Oct"/>
          <s v="Nov"/>
          <s v="Dec"/>
          <s v="&gt;01/01/25"/>
        </groupItems>
      </fieldGroup>
    </cacheField>
    <cacheField name="Years (Admission Date)" numFmtId="0" databaseField="0">
      <fieldGroup base="6">
        <rangePr groupBy="years" startDate="2024-01-01T00:00:00" endDate="2025-01-01T00:00:00"/>
        <groupItems count="4">
          <s v="&lt;01/01/24"/>
          <s v="2024"/>
          <s v="2025"/>
          <s v="&gt;01/01/25"/>
        </groupItems>
      </fieldGroup>
    </cacheField>
  </cacheFields>
  <extLst>
    <ext xmlns:x14="http://schemas.microsoft.com/office/spreadsheetml/2009/9/main" uri="{725AE2AE-9491-48be-B2B4-4EB974FC3084}">
      <x14:pivotCacheDefinition pivotCacheId="1808905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5">
  <r>
    <n v="1"/>
    <n v="18001"/>
    <s v="Jay Prakash"/>
    <s v="Shashikant Dixit"/>
    <x v="0"/>
    <x v="0"/>
    <x v="0"/>
    <x v="0"/>
    <n v="4400"/>
    <n v="3800"/>
    <n v="600"/>
    <x v="0"/>
    <x v="0"/>
  </r>
  <r>
    <n v="2"/>
    <n v="18002"/>
    <s v="Anoop Kumar"/>
    <s v="Shripal"/>
    <x v="0"/>
    <x v="0"/>
    <x v="1"/>
    <x v="0"/>
    <n v="4400"/>
    <n v="1800"/>
    <n v="2600"/>
    <x v="0"/>
    <x v="1"/>
  </r>
  <r>
    <n v="3"/>
    <n v="18003"/>
    <s v="Lareb Khan"/>
    <s v="Nashim Ali"/>
    <x v="0"/>
    <x v="0"/>
    <x v="1"/>
    <x v="0"/>
    <n v="4400"/>
    <n v="4400"/>
    <n v="0"/>
    <x v="1"/>
    <x v="2"/>
  </r>
  <r>
    <n v="4"/>
    <n v="18004"/>
    <s v="Pavan Pratap Singh"/>
    <s v="Tribhuvan Lal"/>
    <x v="0"/>
    <x v="0"/>
    <x v="1"/>
    <x v="0"/>
    <n v="4400"/>
    <n v="4400"/>
    <n v="0"/>
    <x v="1"/>
    <x v="3"/>
  </r>
  <r>
    <n v="5"/>
    <n v="18005"/>
    <s v="Sahil Khan"/>
    <s v="Gokul Prasad"/>
    <x v="0"/>
    <x v="0"/>
    <x v="1"/>
    <x v="0"/>
    <n v="4400"/>
    <n v="500"/>
    <n v="3900"/>
    <x v="0"/>
    <x v="4"/>
  </r>
  <r>
    <n v="6"/>
    <n v="18006"/>
    <s v="Shivam"/>
    <s v="Devendar Singh"/>
    <x v="1"/>
    <x v="0"/>
    <x v="1"/>
    <x v="0"/>
    <n v="4400"/>
    <n v="3800"/>
    <n v="600"/>
    <x v="0"/>
    <x v="5"/>
  </r>
  <r>
    <n v="7"/>
    <n v="18007"/>
    <s v="Bablu Kumar"/>
    <s v="Bagish Kumar Mishra"/>
    <x v="0"/>
    <x v="0"/>
    <x v="2"/>
    <x v="0"/>
    <n v="4400"/>
    <n v="4400"/>
    <n v="0"/>
    <x v="1"/>
    <x v="6"/>
  </r>
  <r>
    <n v="8"/>
    <n v="18008"/>
    <s v="Jakeel Khan"/>
    <s v="Ram Lakhan"/>
    <x v="1"/>
    <x v="0"/>
    <x v="2"/>
    <x v="0"/>
    <n v="4400"/>
    <n v="4400"/>
    <n v="0"/>
    <x v="1"/>
    <x v="7"/>
  </r>
  <r>
    <n v="9"/>
    <n v="18009"/>
    <s v="Prachi Singh"/>
    <s v="Brajnath Kashyap"/>
    <x v="0"/>
    <x v="0"/>
    <x v="2"/>
    <x v="0"/>
    <n v="4400"/>
    <n v="4400"/>
    <n v="0"/>
    <x v="1"/>
    <x v="8"/>
  </r>
  <r>
    <n v="10"/>
    <n v="18010"/>
    <s v="Sandeep Kumar"/>
    <s v="Ram Khelawan"/>
    <x v="1"/>
    <x v="0"/>
    <x v="2"/>
    <x v="0"/>
    <n v="4400"/>
    <n v="3800"/>
    <n v="600"/>
    <x v="0"/>
    <x v="9"/>
  </r>
  <r>
    <n v="11"/>
    <n v="18011"/>
    <s v="Abhishek Singh"/>
    <s v="Vinod Kumar"/>
    <x v="0"/>
    <x v="0"/>
    <x v="3"/>
    <x v="0"/>
    <n v="4400"/>
    <n v="4000"/>
    <n v="400"/>
    <x v="0"/>
    <x v="4"/>
  </r>
  <r>
    <n v="12"/>
    <n v="18012"/>
    <s v="Pankaj Kumar"/>
    <s v="Shaukat Ali"/>
    <x v="0"/>
    <x v="0"/>
    <x v="3"/>
    <x v="0"/>
    <n v="4400"/>
    <n v="1200"/>
    <n v="3200"/>
    <x v="0"/>
    <x v="5"/>
  </r>
  <r>
    <n v="13"/>
    <n v="18013"/>
    <s v="Arjun Kumar Raj"/>
    <s v="Shamshul Haq"/>
    <x v="1"/>
    <x v="0"/>
    <x v="4"/>
    <x v="0"/>
    <n v="4400"/>
    <n v="3800"/>
    <n v="600"/>
    <x v="0"/>
    <x v="0"/>
  </r>
  <r>
    <n v="14"/>
    <n v="18014"/>
    <s v="Mo. Kausen Raza"/>
    <s v="Santosh Gautam"/>
    <x v="1"/>
    <x v="0"/>
    <x v="4"/>
    <x v="0"/>
    <n v="4400"/>
    <n v="4400"/>
    <n v="0"/>
    <x v="1"/>
    <x v="10"/>
  </r>
  <r>
    <n v="15"/>
    <n v="18015"/>
    <s v="Nand Lal"/>
    <s v="Hetram"/>
    <x v="0"/>
    <x v="0"/>
    <x v="4"/>
    <x v="0"/>
    <n v="4400"/>
    <n v="3800"/>
    <n v="600"/>
    <x v="0"/>
    <x v="11"/>
  </r>
  <r>
    <n v="792"/>
    <n v="18792"/>
    <s v="Kajal Soni"/>
    <s v="Vasim Ahmed"/>
    <x v="0"/>
    <x v="0"/>
    <x v="5"/>
    <x v="0"/>
    <n v="4400"/>
    <n v="4400"/>
    <n v="0"/>
    <x v="1"/>
    <x v="12"/>
  </r>
  <r>
    <n v="793"/>
    <n v="18793"/>
    <s v="Unnati Shukla"/>
    <s v="Ram Muneesh"/>
    <x v="1"/>
    <x v="0"/>
    <x v="5"/>
    <x v="0"/>
    <n v="4400"/>
    <n v="4400"/>
    <n v="0"/>
    <x v="1"/>
    <x v="13"/>
  </r>
  <r>
    <n v="827"/>
    <n v="18827"/>
    <s v="Neha"/>
    <s v="Krishna Gupta"/>
    <x v="0"/>
    <x v="0"/>
    <x v="5"/>
    <x v="0"/>
    <n v="4400"/>
    <n v="3800"/>
    <n v="600"/>
    <x v="0"/>
    <x v="14"/>
  </r>
  <r>
    <n v="657"/>
    <n v="18657"/>
    <s v="Ayush Mishra"/>
    <s v="Mohd Naeem"/>
    <x v="0"/>
    <x v="0"/>
    <x v="6"/>
    <x v="0"/>
    <n v="4400"/>
    <n v="4400"/>
    <n v="0"/>
    <x v="1"/>
    <x v="2"/>
  </r>
  <r>
    <n v="658"/>
    <n v="18658"/>
    <s v="Suraj Kumar Shukla"/>
    <s v="Nandlal"/>
    <x v="1"/>
    <x v="0"/>
    <x v="6"/>
    <x v="0"/>
    <n v="4400"/>
    <n v="4400"/>
    <n v="0"/>
    <x v="1"/>
    <x v="3"/>
  </r>
  <r>
    <n v="828"/>
    <n v="18828"/>
    <s v="Akash Shukla"/>
    <s v="Dharmendra Kumar"/>
    <x v="0"/>
    <x v="0"/>
    <x v="6"/>
    <x v="0"/>
    <n v="4400"/>
    <n v="4400"/>
    <n v="0"/>
    <x v="1"/>
    <x v="2"/>
  </r>
  <r>
    <n v="829"/>
    <n v="18829"/>
    <s v="Mohammad Saleem"/>
    <s v="Parikaramadeen"/>
    <x v="0"/>
    <x v="0"/>
    <x v="6"/>
    <x v="0"/>
    <n v="4400"/>
    <n v="3800"/>
    <n v="600"/>
    <x v="0"/>
    <x v="3"/>
  </r>
  <r>
    <n v="659"/>
    <n v="18659"/>
    <s v="Kanchan"/>
    <s v="Sumiraj Singh"/>
    <x v="1"/>
    <x v="0"/>
    <x v="7"/>
    <x v="0"/>
    <n v="4400"/>
    <n v="4000"/>
    <n v="400"/>
    <x v="0"/>
    <x v="10"/>
  </r>
  <r>
    <n v="660"/>
    <n v="18660"/>
    <s v="Roshani"/>
    <s v="Riyazuddin Ansari"/>
    <x v="1"/>
    <x v="0"/>
    <x v="7"/>
    <x v="0"/>
    <n v="4400"/>
    <n v="4000"/>
    <n v="400"/>
    <x v="0"/>
    <x v="12"/>
  </r>
  <r>
    <n v="605"/>
    <n v="18605"/>
    <s v="Km Mohini Devi"/>
    <s v="Ram Gopal Verma"/>
    <x v="0"/>
    <x v="0"/>
    <x v="8"/>
    <x v="0"/>
    <n v="4400"/>
    <n v="3800"/>
    <n v="600"/>
    <x v="0"/>
    <x v="10"/>
  </r>
  <r>
    <n v="606"/>
    <n v="18606"/>
    <s v="Km Monika Devi"/>
    <s v="Ramu"/>
    <x v="0"/>
    <x v="0"/>
    <x v="8"/>
    <x v="0"/>
    <n v="4400"/>
    <n v="3800"/>
    <n v="600"/>
    <x v="0"/>
    <x v="10"/>
  </r>
  <r>
    <n v="607"/>
    <n v="18607"/>
    <s v="Shalindri Pal"/>
    <s v="Chandrabhal"/>
    <x v="0"/>
    <x v="0"/>
    <x v="8"/>
    <x v="0"/>
    <n v="4400"/>
    <n v="4400"/>
    <n v="0"/>
    <x v="1"/>
    <x v="14"/>
  </r>
  <r>
    <n v="141"/>
    <n v="18141"/>
    <s v="Km Gayatri Srivastava"/>
    <s v="Rakesh Kumar"/>
    <x v="1"/>
    <x v="0"/>
    <x v="9"/>
    <x v="0"/>
    <n v="4400"/>
    <n v="3800"/>
    <n v="600"/>
    <x v="0"/>
    <x v="14"/>
  </r>
  <r>
    <n v="142"/>
    <n v="18142"/>
    <s v="Shreya Singh"/>
    <s v="Arvind"/>
    <x v="1"/>
    <x v="0"/>
    <x v="9"/>
    <x v="0"/>
    <n v="4400"/>
    <n v="3800"/>
    <n v="600"/>
    <x v="0"/>
    <x v="2"/>
  </r>
  <r>
    <n v="608"/>
    <n v="18608"/>
    <s v="Jitin Shukla"/>
    <s v="Dheerendra Singh"/>
    <x v="0"/>
    <x v="0"/>
    <x v="9"/>
    <x v="0"/>
    <n v="4400"/>
    <n v="4400"/>
    <n v="0"/>
    <x v="1"/>
    <x v="2"/>
  </r>
  <r>
    <n v="609"/>
    <n v="18609"/>
    <s v="Saumya Awasthi"/>
    <s v="Akhilesh"/>
    <x v="0"/>
    <x v="0"/>
    <x v="9"/>
    <x v="0"/>
    <n v="4400"/>
    <n v="4400"/>
    <n v="0"/>
    <x v="1"/>
    <x v="3"/>
  </r>
  <r>
    <n v="610"/>
    <n v="18610"/>
    <s v="Kumar Vishal Singh"/>
    <s v="Nandkishor"/>
    <x v="0"/>
    <x v="0"/>
    <x v="10"/>
    <x v="0"/>
    <n v="4400"/>
    <n v="4400"/>
    <n v="0"/>
    <x v="1"/>
    <x v="10"/>
  </r>
  <r>
    <n v="611"/>
    <n v="18611"/>
    <s v="Shailendra Singh"/>
    <s v="Hanuman Prasad Shukla"/>
    <x v="1"/>
    <x v="0"/>
    <x v="10"/>
    <x v="0"/>
    <n v="4400"/>
    <n v="4400"/>
    <n v="0"/>
    <x v="1"/>
    <x v="12"/>
  </r>
  <r>
    <n v="875"/>
    <n v="18875"/>
    <s v="Arvind Nishad"/>
    <s v="Pramod Kumar"/>
    <x v="0"/>
    <x v="0"/>
    <x v="11"/>
    <x v="0"/>
    <n v="4400"/>
    <n v="4000"/>
    <n v="400"/>
    <x v="0"/>
    <x v="13"/>
  </r>
  <r>
    <n v="876"/>
    <n v="18876"/>
    <s v="Atul Nishad"/>
    <s v="Kamlesh Kumar"/>
    <x v="0"/>
    <x v="0"/>
    <x v="11"/>
    <x v="0"/>
    <n v="4400"/>
    <n v="4400"/>
    <n v="0"/>
    <x v="1"/>
    <x v="6"/>
  </r>
  <r>
    <n v="877"/>
    <n v="18877"/>
    <s v="Sudhakar Awasthi"/>
    <s v="Chhannoo Shukla"/>
    <x v="0"/>
    <x v="0"/>
    <x v="11"/>
    <x v="0"/>
    <n v="4400"/>
    <n v="4000"/>
    <n v="400"/>
    <x v="0"/>
    <x v="12"/>
  </r>
  <r>
    <n v="172"/>
    <n v="18172"/>
    <s v="Ehsan Ali"/>
    <s v="Mahesh"/>
    <x v="0"/>
    <x v="0"/>
    <x v="12"/>
    <x v="0"/>
    <n v="4400"/>
    <n v="3800"/>
    <n v="600"/>
    <x v="0"/>
    <x v="2"/>
  </r>
  <r>
    <n v="612"/>
    <n v="18612"/>
    <s v="Aditya Kumar"/>
    <s v="Satyendra Kumar Srivastava"/>
    <x v="1"/>
    <x v="1"/>
    <x v="12"/>
    <x v="0"/>
    <n v="5500"/>
    <n v="5500"/>
    <n v="0"/>
    <x v="1"/>
    <x v="13"/>
  </r>
  <r>
    <n v="613"/>
    <n v="18613"/>
    <s v="Anoop Kumar"/>
    <s v="Anwar Ali"/>
    <x v="1"/>
    <x v="1"/>
    <x v="12"/>
    <x v="0"/>
    <n v="5500"/>
    <n v="5500"/>
    <n v="0"/>
    <x v="1"/>
    <x v="6"/>
  </r>
  <r>
    <n v="614"/>
    <n v="18614"/>
    <s v="Anuj Kumar"/>
    <s v="Shrikrishna"/>
    <x v="1"/>
    <x v="1"/>
    <x v="13"/>
    <x v="0"/>
    <n v="5500"/>
    <n v="5500"/>
    <n v="0"/>
    <x v="1"/>
    <x v="12"/>
  </r>
  <r>
    <n v="615"/>
    <n v="18615"/>
    <s v="Sachin Kumar"/>
    <s v="Rati Ram"/>
    <x v="0"/>
    <x v="1"/>
    <x v="13"/>
    <x v="0"/>
    <n v="5500"/>
    <n v="5100"/>
    <n v="400"/>
    <x v="0"/>
    <x v="12"/>
  </r>
  <r>
    <n v="616"/>
    <n v="18616"/>
    <s v="Umesh Kumar Rana"/>
    <s v="Krishna Kumar Verma"/>
    <x v="0"/>
    <x v="1"/>
    <x v="13"/>
    <x v="0"/>
    <n v="5500"/>
    <n v="5100"/>
    <n v="400"/>
    <x v="0"/>
    <x v="3"/>
  </r>
  <r>
    <n v="81"/>
    <n v="18081"/>
    <s v="Ashwani Kumar Verma"/>
    <s v="Rajesh Kumar Vishwakarma"/>
    <x v="0"/>
    <x v="1"/>
    <x v="14"/>
    <x v="0"/>
    <n v="5500"/>
    <n v="4900"/>
    <n v="600"/>
    <x v="0"/>
    <x v="14"/>
  </r>
  <r>
    <n v="82"/>
    <n v="18082"/>
    <s v="Shubham Kumar"/>
    <s v="Jamuna Prasad"/>
    <x v="0"/>
    <x v="1"/>
    <x v="14"/>
    <x v="0"/>
    <n v="5500"/>
    <n v="5500"/>
    <n v="0"/>
    <x v="1"/>
    <x v="2"/>
  </r>
  <r>
    <n v="661"/>
    <n v="18661"/>
    <s v="Mamta Jaiswal"/>
    <s v="Badshah Yadav"/>
    <x v="0"/>
    <x v="1"/>
    <x v="14"/>
    <x v="0"/>
    <n v="5500"/>
    <n v="4900"/>
    <n v="600"/>
    <x v="0"/>
    <x v="13"/>
  </r>
  <r>
    <n v="16"/>
    <n v="18016"/>
    <s v="Ashok Kumar"/>
    <s v="Chandra Bhal"/>
    <x v="1"/>
    <x v="1"/>
    <x v="15"/>
    <x v="0"/>
    <n v="5500"/>
    <n v="5500"/>
    <n v="0"/>
    <x v="1"/>
    <x v="15"/>
  </r>
  <r>
    <n v="17"/>
    <n v="18017"/>
    <s v="Gayatri Devi"/>
    <s v="Tahzeeb Khan"/>
    <x v="1"/>
    <x v="1"/>
    <x v="15"/>
    <x v="0"/>
    <n v="5500"/>
    <n v="5500"/>
    <n v="0"/>
    <x v="1"/>
    <x v="11"/>
  </r>
  <r>
    <n v="18"/>
    <n v="18018"/>
    <s v="Janardan Pal"/>
    <s v="Radhey Shyam Maurya"/>
    <x v="1"/>
    <x v="1"/>
    <x v="15"/>
    <x v="0"/>
    <n v="5500"/>
    <n v="4900"/>
    <n v="600"/>
    <x v="0"/>
    <x v="15"/>
  </r>
  <r>
    <n v="19"/>
    <n v="18019"/>
    <s v="Apoorva Verma"/>
    <s v="Anil Kumar Maurya"/>
    <x v="0"/>
    <x v="1"/>
    <x v="16"/>
    <x v="0"/>
    <n v="5500"/>
    <n v="4900"/>
    <n v="600"/>
    <x v="0"/>
    <x v="15"/>
  </r>
  <r>
    <n v="20"/>
    <n v="18020"/>
    <s v="Sanjay Kumar"/>
    <s v="Jagdish Prasad Maurya"/>
    <x v="0"/>
    <x v="1"/>
    <x v="16"/>
    <x v="0"/>
    <n v="5500"/>
    <n v="5500"/>
    <n v="0"/>
    <x v="1"/>
    <x v="11"/>
  </r>
  <r>
    <n v="21"/>
    <n v="18021"/>
    <s v="Suneel Kumar"/>
    <s v="Ram Murti"/>
    <x v="0"/>
    <x v="1"/>
    <x v="16"/>
    <x v="0"/>
    <n v="5500"/>
    <n v="5500"/>
    <n v="0"/>
    <x v="1"/>
    <x v="1"/>
  </r>
  <r>
    <n v="22"/>
    <n v="18022"/>
    <s v="Ajay Kumar"/>
    <s v="Santosh Nishad"/>
    <x v="0"/>
    <x v="1"/>
    <x v="17"/>
    <x v="0"/>
    <n v="5500"/>
    <n v="5100"/>
    <n v="400"/>
    <x v="0"/>
    <x v="16"/>
  </r>
  <r>
    <n v="23"/>
    <n v="18023"/>
    <s v="Deepak Kumar"/>
    <s v="Avdhesh Kumar Mishra"/>
    <x v="0"/>
    <x v="1"/>
    <x v="17"/>
    <x v="0"/>
    <n v="5500"/>
    <n v="5500"/>
    <n v="0"/>
    <x v="1"/>
    <x v="4"/>
  </r>
  <r>
    <n v="24"/>
    <n v="18024"/>
    <s v="Vineet Kumar"/>
    <s v="Tejkaran"/>
    <x v="1"/>
    <x v="1"/>
    <x v="17"/>
    <x v="0"/>
    <n v="5500"/>
    <n v="5100"/>
    <n v="400"/>
    <x v="0"/>
    <x v="5"/>
  </r>
  <r>
    <n v="25"/>
    <n v="18025"/>
    <s v="Kamlesh"/>
    <s v="Pradeep Kumar Awashti"/>
    <x v="1"/>
    <x v="1"/>
    <x v="18"/>
    <x v="0"/>
    <n v="5500"/>
    <n v="4900"/>
    <n v="600"/>
    <x v="0"/>
    <x v="5"/>
  </r>
  <r>
    <n v="26"/>
    <n v="18026"/>
    <s v="Suraj Kumar Tiwari"/>
    <s v="Jay Prakash Chaurasiya"/>
    <x v="1"/>
    <x v="1"/>
    <x v="18"/>
    <x v="0"/>
    <n v="5500"/>
    <n v="4900"/>
    <n v="600"/>
    <x v="0"/>
    <x v="12"/>
  </r>
  <r>
    <n v="27"/>
    <n v="18027"/>
    <s v="Umesh Kumar"/>
    <s v="Ravendra Kumar"/>
    <x v="0"/>
    <x v="1"/>
    <x v="18"/>
    <x v="0"/>
    <n v="5500"/>
    <n v="1300"/>
    <n v="4200"/>
    <x v="0"/>
    <x v="14"/>
  </r>
  <r>
    <n v="28"/>
    <n v="18028"/>
    <s v="Pallavi Devi"/>
    <s v="Rakesh Gupta"/>
    <x v="0"/>
    <x v="1"/>
    <x v="19"/>
    <x v="0"/>
    <n v="5500"/>
    <n v="5500"/>
    <n v="0"/>
    <x v="1"/>
    <x v="2"/>
  </r>
  <r>
    <n v="99"/>
    <n v="18099"/>
    <s v="Akash Kumar"/>
    <s v="Bindra Prasad"/>
    <x v="0"/>
    <x v="1"/>
    <x v="19"/>
    <x v="0"/>
    <n v="5500"/>
    <n v="4900"/>
    <n v="600"/>
    <x v="0"/>
    <x v="9"/>
  </r>
  <r>
    <n v="100"/>
    <n v="18100"/>
    <s v="Neha Verma"/>
    <s v="Santosh Kashyap"/>
    <x v="0"/>
    <x v="1"/>
    <x v="19"/>
    <x v="0"/>
    <n v="5500"/>
    <n v="4900"/>
    <n v="600"/>
    <x v="0"/>
    <x v="14"/>
  </r>
  <r>
    <n v="101"/>
    <n v="18101"/>
    <s v="Nujhat Khatoon"/>
    <s v="Rajesh Kumr Verma"/>
    <x v="0"/>
    <x v="1"/>
    <x v="19"/>
    <x v="0"/>
    <n v="5500"/>
    <n v="5500"/>
    <n v="0"/>
    <x v="1"/>
    <x v="2"/>
  </r>
  <r>
    <n v="102"/>
    <n v="18102"/>
    <s v="Elma"/>
    <s v="Ram Autar"/>
    <x v="1"/>
    <x v="1"/>
    <x v="20"/>
    <x v="0"/>
    <n v="5500"/>
    <n v="4400"/>
    <n v="1100"/>
    <x v="0"/>
    <x v="3"/>
  </r>
  <r>
    <n v="103"/>
    <n v="18103"/>
    <s v="Vijay Kumar"/>
    <s v="Rajesh Kumar"/>
    <x v="1"/>
    <x v="1"/>
    <x v="20"/>
    <x v="0"/>
    <n v="5500"/>
    <n v="5500"/>
    <n v="0"/>
    <x v="1"/>
    <x v="10"/>
  </r>
  <r>
    <n v="104"/>
    <n v="18104"/>
    <s v="Jooli"/>
    <s v="Ajay Mishra"/>
    <x v="0"/>
    <x v="1"/>
    <x v="21"/>
    <x v="0"/>
    <n v="5500"/>
    <n v="5100"/>
    <n v="400"/>
    <x v="0"/>
    <x v="12"/>
  </r>
  <r>
    <n v="105"/>
    <n v="18105"/>
    <s v="Muskan"/>
    <s v="Gallar Prasad"/>
    <x v="0"/>
    <x v="1"/>
    <x v="21"/>
    <x v="0"/>
    <n v="5500"/>
    <n v="5100"/>
    <n v="400"/>
    <x v="0"/>
    <x v="13"/>
  </r>
  <r>
    <n v="106"/>
    <n v="18106"/>
    <s v="Zubaida Khatoon"/>
    <s v="Sanjay Kumar Srivastava"/>
    <x v="1"/>
    <x v="1"/>
    <x v="21"/>
    <x v="0"/>
    <n v="5500"/>
    <n v="5500"/>
    <n v="0"/>
    <x v="1"/>
    <x v="6"/>
  </r>
  <r>
    <n v="107"/>
    <n v="18107"/>
    <s v="Anjali Singh"/>
    <s v="Israr Khan"/>
    <x v="0"/>
    <x v="1"/>
    <x v="22"/>
    <x v="0"/>
    <n v="5500"/>
    <n v="4900"/>
    <n v="600"/>
    <x v="0"/>
    <x v="0"/>
  </r>
  <r>
    <n v="108"/>
    <n v="18108"/>
    <s v="Arpit Mishra"/>
    <s v="Ramesh Kumar"/>
    <x v="1"/>
    <x v="1"/>
    <x v="22"/>
    <x v="0"/>
    <n v="5500"/>
    <n v="5500"/>
    <n v="0"/>
    <x v="1"/>
    <x v="1"/>
  </r>
  <r>
    <n v="109"/>
    <n v="18109"/>
    <s v="Rekha Singh"/>
    <s v="Mahadev Prasad"/>
    <x v="0"/>
    <x v="1"/>
    <x v="22"/>
    <x v="0"/>
    <n v="5500"/>
    <n v="4500"/>
    <n v="1000"/>
    <x v="0"/>
    <x v="9"/>
  </r>
  <r>
    <n v="110"/>
    <n v="18110"/>
    <s v="Rubi Singh"/>
    <s v="Ram Pal"/>
    <x v="0"/>
    <x v="1"/>
    <x v="22"/>
    <x v="0"/>
    <n v="5500"/>
    <n v="4900"/>
    <n v="600"/>
    <x v="0"/>
    <x v="14"/>
  </r>
  <r>
    <n v="111"/>
    <n v="18111"/>
    <s v="Lav Kumar"/>
    <s v="Ramesh Kumar"/>
    <x v="1"/>
    <x v="1"/>
    <x v="23"/>
    <x v="0"/>
    <n v="5500"/>
    <n v="5500"/>
    <n v="0"/>
    <x v="1"/>
    <x v="2"/>
  </r>
  <r>
    <n v="112"/>
    <n v="18112"/>
    <s v="Mohd Asib Khan"/>
    <s v="Rais Khan"/>
    <x v="1"/>
    <x v="1"/>
    <x v="23"/>
    <x v="0"/>
    <n v="5500"/>
    <n v="4900"/>
    <n v="600"/>
    <x v="0"/>
    <x v="3"/>
  </r>
  <r>
    <n v="113"/>
    <n v="18113"/>
    <s v="Mohammad Yasir"/>
    <s v="Akhtar Yar Khan"/>
    <x v="0"/>
    <x v="1"/>
    <x v="24"/>
    <x v="0"/>
    <n v="5500"/>
    <n v="5500"/>
    <n v="0"/>
    <x v="1"/>
    <x v="10"/>
  </r>
  <r>
    <n v="114"/>
    <n v="18114"/>
    <s v="Ravi Kumar"/>
    <s v="Ram Pal"/>
    <x v="0"/>
    <x v="1"/>
    <x v="24"/>
    <x v="0"/>
    <n v="5500"/>
    <n v="4900"/>
    <n v="600"/>
    <x v="0"/>
    <x v="12"/>
  </r>
  <r>
    <n v="115"/>
    <n v="18115"/>
    <s v="Vivek Kumar Verma"/>
    <s v="Uttam Kumar"/>
    <x v="0"/>
    <x v="1"/>
    <x v="24"/>
    <x v="0"/>
    <n v="5500"/>
    <n v="5500"/>
    <n v="0"/>
    <x v="1"/>
    <x v="13"/>
  </r>
  <r>
    <n v="116"/>
    <n v="18116"/>
    <s v="Azara Bano"/>
    <s v="Om Narayan"/>
    <x v="0"/>
    <x v="1"/>
    <x v="25"/>
    <x v="0"/>
    <n v="5500"/>
    <n v="5500"/>
    <n v="0"/>
    <x v="1"/>
    <x v="6"/>
  </r>
  <r>
    <n v="117"/>
    <n v="18117"/>
    <s v="Mahira Begum"/>
    <s v="Gyanendra Kumar Verma"/>
    <x v="1"/>
    <x v="1"/>
    <x v="25"/>
    <x v="0"/>
    <n v="5500"/>
    <n v="5100"/>
    <n v="400"/>
    <x v="0"/>
    <x v="12"/>
  </r>
  <r>
    <n v="118"/>
    <n v="18118"/>
    <s v="Rahnuma Anzum"/>
    <s v="Raju Kashyap"/>
    <x v="0"/>
    <x v="1"/>
    <x v="25"/>
    <x v="0"/>
    <n v="5500"/>
    <n v="5100"/>
    <n v="400"/>
    <x v="0"/>
    <x v="12"/>
  </r>
  <r>
    <n v="119"/>
    <n v="18119"/>
    <s v="Nargish"/>
    <s v="Guddu"/>
    <x v="1"/>
    <x v="1"/>
    <x v="26"/>
    <x v="0"/>
    <n v="5500"/>
    <n v="4900"/>
    <n v="600"/>
    <x v="0"/>
    <x v="3"/>
  </r>
  <r>
    <n v="914"/>
    <n v="18914"/>
    <s v="Ajay Kumar"/>
    <s v="Tarkeeb Ali"/>
    <x v="0"/>
    <x v="1"/>
    <x v="26"/>
    <x v="0"/>
    <n v="5500"/>
    <n v="4900"/>
    <n v="600"/>
    <x v="0"/>
    <x v="4"/>
  </r>
  <r>
    <n v="915"/>
    <n v="18915"/>
    <s v="Anjali Mandal"/>
    <s v="Raghvendra Singh"/>
    <x v="0"/>
    <x v="1"/>
    <x v="26"/>
    <x v="0"/>
    <n v="5500"/>
    <n v="4900"/>
    <n v="600"/>
    <x v="0"/>
    <x v="5"/>
  </r>
  <r>
    <n v="916"/>
    <n v="18916"/>
    <s v="Arpit Jaiswal"/>
    <s v="Santosh Kumar"/>
    <x v="1"/>
    <x v="1"/>
    <x v="26"/>
    <x v="0"/>
    <n v="5500"/>
    <n v="4900"/>
    <n v="600"/>
    <x v="0"/>
    <x v="0"/>
  </r>
  <r>
    <n v="917"/>
    <n v="18917"/>
    <s v="Manoj Kumar"/>
    <s v="Rajesh Kumar"/>
    <x v="0"/>
    <x v="1"/>
    <x v="26"/>
    <x v="0"/>
    <n v="5500"/>
    <n v="5500"/>
    <n v="0"/>
    <x v="1"/>
    <x v="10"/>
  </r>
  <r>
    <n v="918"/>
    <n v="18918"/>
    <s v="Ram Pravesh"/>
    <s v="Ramesh Kumar"/>
    <x v="0"/>
    <x v="1"/>
    <x v="26"/>
    <x v="0"/>
    <n v="5500"/>
    <n v="5500"/>
    <n v="0"/>
    <x v="1"/>
    <x v="11"/>
  </r>
  <r>
    <n v="919"/>
    <n v="18919"/>
    <s v="Shivam Verma"/>
    <s v="Manoj Kumar Garg"/>
    <x v="0"/>
    <x v="1"/>
    <x v="26"/>
    <x v="0"/>
    <n v="5500"/>
    <n v="5500"/>
    <n v="0"/>
    <x v="1"/>
    <x v="15"/>
  </r>
  <r>
    <n v="830"/>
    <n v="18830"/>
    <s v="Anchal Tiwari"/>
    <s v="Nadeem Akhtar Khan"/>
    <x v="1"/>
    <x v="1"/>
    <x v="27"/>
    <x v="1"/>
    <n v="5500"/>
    <n v="5500"/>
    <n v="0"/>
    <x v="1"/>
    <x v="10"/>
  </r>
  <r>
    <n v="831"/>
    <n v="18831"/>
    <s v="Nirmal Singh"/>
    <s v="Naseer Ahmad"/>
    <x v="1"/>
    <x v="1"/>
    <x v="27"/>
    <x v="1"/>
    <n v="5500"/>
    <n v="5500"/>
    <n v="0"/>
    <x v="1"/>
    <x v="12"/>
  </r>
  <r>
    <n v="832"/>
    <n v="18832"/>
    <s v="Shagun Awasthi"/>
    <s v="Tarun Kumar Ray"/>
    <x v="1"/>
    <x v="1"/>
    <x v="27"/>
    <x v="1"/>
    <n v="5500"/>
    <n v="5500"/>
    <n v="0"/>
    <x v="1"/>
    <x v="13"/>
  </r>
  <r>
    <n v="833"/>
    <n v="18833"/>
    <s v="Aakash Singh"/>
    <s v="Mani Ram Maurya"/>
    <x v="0"/>
    <x v="1"/>
    <x v="28"/>
    <x v="1"/>
    <n v="5500"/>
    <n v="5100"/>
    <n v="400"/>
    <x v="0"/>
    <x v="6"/>
  </r>
  <r>
    <n v="834"/>
    <n v="18834"/>
    <s v="Amit Kumar"/>
    <s v="Uttam Kumar"/>
    <x v="0"/>
    <x v="1"/>
    <x v="28"/>
    <x v="1"/>
    <n v="5500"/>
    <n v="5100"/>
    <n v="400"/>
    <x v="0"/>
    <x v="0"/>
  </r>
  <r>
    <n v="835"/>
    <n v="18835"/>
    <s v="Mo. Sameer"/>
    <s v="Gorakhnath Shukla"/>
    <x v="0"/>
    <x v="1"/>
    <x v="29"/>
    <x v="1"/>
    <n v="5500"/>
    <n v="2800"/>
    <n v="2700"/>
    <x v="0"/>
    <x v="1"/>
  </r>
  <r>
    <n v="836"/>
    <n v="18836"/>
    <s v="Sonu Yadav"/>
    <s v="Mangal Singh"/>
    <x v="0"/>
    <x v="1"/>
    <x v="29"/>
    <x v="1"/>
    <n v="5500"/>
    <n v="4900"/>
    <n v="600"/>
    <x v="0"/>
    <x v="9"/>
  </r>
  <r>
    <n v="837"/>
    <n v="18837"/>
    <s v="Vivek Kumar"/>
    <s v="Rajendra Kumar"/>
    <x v="0"/>
    <x v="1"/>
    <x v="29"/>
    <x v="1"/>
    <n v="5500"/>
    <n v="4900"/>
    <n v="600"/>
    <x v="0"/>
    <x v="14"/>
  </r>
  <r>
    <n v="838"/>
    <n v="18838"/>
    <s v="Ashish Kumar"/>
    <s v="Anil Mishra"/>
    <x v="1"/>
    <x v="1"/>
    <x v="30"/>
    <x v="1"/>
    <n v="5500"/>
    <n v="5500"/>
    <n v="0"/>
    <x v="1"/>
    <x v="2"/>
  </r>
  <r>
    <n v="839"/>
    <n v="18839"/>
    <s v="Civil Katiyar"/>
    <s v="Sarvesh Kumar Mishra"/>
    <x v="1"/>
    <x v="1"/>
    <x v="30"/>
    <x v="1"/>
    <n v="5500"/>
    <n v="4900"/>
    <n v="600"/>
    <x v="0"/>
    <x v="3"/>
  </r>
  <r>
    <n v="840"/>
    <n v="18840"/>
    <s v="Dhruv Kumar"/>
    <s v="Acchan"/>
    <x v="1"/>
    <x v="1"/>
    <x v="30"/>
    <x v="1"/>
    <n v="5500"/>
    <n v="5500"/>
    <n v="0"/>
    <x v="1"/>
    <x v="10"/>
  </r>
  <r>
    <n v="841"/>
    <n v="18841"/>
    <s v="Pradeep Kumar Sahani"/>
    <s v="Rabbi Lal"/>
    <x v="0"/>
    <x v="1"/>
    <x v="30"/>
    <x v="1"/>
    <n v="5500"/>
    <n v="4900"/>
    <n v="600"/>
    <x v="0"/>
    <x v="12"/>
  </r>
  <r>
    <n v="842"/>
    <n v="18842"/>
    <s v="Kamal Kumar"/>
    <s v="Satyendra Verma"/>
    <x v="0"/>
    <x v="1"/>
    <x v="31"/>
    <x v="1"/>
    <n v="5500"/>
    <n v="5500"/>
    <n v="0"/>
    <x v="1"/>
    <x v="13"/>
  </r>
  <r>
    <n v="843"/>
    <n v="18843"/>
    <s v="Shlok Saxena"/>
    <s v="Rajender Gupta"/>
    <x v="0"/>
    <x v="1"/>
    <x v="31"/>
    <x v="1"/>
    <n v="5500"/>
    <n v="5500"/>
    <n v="0"/>
    <x v="1"/>
    <x v="6"/>
  </r>
  <r>
    <n v="662"/>
    <n v="18662"/>
    <s v="Shivam Kumar Rana"/>
    <s v="Pirzada Mohammad Shafi Shah"/>
    <x v="0"/>
    <x v="1"/>
    <x v="32"/>
    <x v="1"/>
    <n v="5500"/>
    <n v="5100"/>
    <n v="400"/>
    <x v="0"/>
    <x v="0"/>
  </r>
  <r>
    <n v="844"/>
    <n v="18844"/>
    <s v="Mohd Laraib Nadeem Khan"/>
    <s v="Kamlesh"/>
    <x v="0"/>
    <x v="1"/>
    <x v="32"/>
    <x v="1"/>
    <n v="5500"/>
    <n v="5500"/>
    <n v="0"/>
    <x v="1"/>
    <x v="12"/>
  </r>
  <r>
    <n v="878"/>
    <n v="18878"/>
    <s v="Ashutosh Kumar"/>
    <s v="Rama Shankar Verma"/>
    <x v="1"/>
    <x v="1"/>
    <x v="32"/>
    <x v="1"/>
    <n v="5500"/>
    <n v="5100"/>
    <n v="400"/>
    <x v="0"/>
    <x v="12"/>
  </r>
  <r>
    <n v="879"/>
    <n v="18879"/>
    <s v="Amreesh Kumar"/>
    <s v="Ajay Kumar"/>
    <x v="1"/>
    <x v="1"/>
    <x v="33"/>
    <x v="1"/>
    <n v="5500"/>
    <n v="4900"/>
    <n v="600"/>
    <x v="0"/>
    <x v="3"/>
  </r>
  <r>
    <n v="880"/>
    <n v="18880"/>
    <s v="Mohammad Shahid Khan"/>
    <s v="Sanjay Kumar Katiyar"/>
    <x v="0"/>
    <x v="1"/>
    <x v="33"/>
    <x v="1"/>
    <n v="5500"/>
    <n v="2500"/>
    <n v="3000"/>
    <x v="0"/>
    <x v="10"/>
  </r>
  <r>
    <n v="881"/>
    <n v="18881"/>
    <s v="Mosahariyar"/>
    <s v="Shiv Kumar"/>
    <x v="1"/>
    <x v="1"/>
    <x v="33"/>
    <x v="1"/>
    <n v="5500"/>
    <n v="4900"/>
    <n v="600"/>
    <x v="0"/>
    <x v="10"/>
  </r>
  <r>
    <n v="173"/>
    <n v="18173"/>
    <s v="Aadesh Kumar"/>
    <s v="Rama Shankar"/>
    <x v="0"/>
    <x v="2"/>
    <x v="34"/>
    <x v="1"/>
    <n v="3200"/>
    <n v="2600"/>
    <n v="600"/>
    <x v="0"/>
    <x v="3"/>
  </r>
  <r>
    <n v="174"/>
    <n v="18174"/>
    <s v="Aditya Chaudhary"/>
    <s v="Shyam Mohan Singh"/>
    <x v="0"/>
    <x v="2"/>
    <x v="34"/>
    <x v="1"/>
    <n v="3200"/>
    <n v="2600"/>
    <n v="600"/>
    <x v="0"/>
    <x v="10"/>
  </r>
  <r>
    <n v="175"/>
    <n v="18175"/>
    <s v="Udit Verma"/>
    <s v="Mahabeer"/>
    <x v="0"/>
    <x v="2"/>
    <x v="34"/>
    <x v="1"/>
    <n v="3200"/>
    <n v="3200"/>
    <n v="0"/>
    <x v="1"/>
    <x v="12"/>
  </r>
  <r>
    <n v="29"/>
    <n v="18029"/>
    <s v="Vikram"/>
    <s v="Moh Arif"/>
    <x v="1"/>
    <x v="2"/>
    <x v="35"/>
    <x v="1"/>
    <n v="3200"/>
    <n v="3200"/>
    <n v="0"/>
    <x v="1"/>
    <x v="16"/>
  </r>
  <r>
    <n v="176"/>
    <n v="18176"/>
    <s v="Devansh Singh"/>
    <s v="Hari Prasad Dixit"/>
    <x v="0"/>
    <x v="2"/>
    <x v="35"/>
    <x v="1"/>
    <n v="3200"/>
    <n v="3200"/>
    <n v="0"/>
    <x v="1"/>
    <x v="13"/>
  </r>
  <r>
    <n v="177"/>
    <n v="18177"/>
    <s v="Ganesh Rana"/>
    <s v="Sanjay Kumar Mishra"/>
    <x v="1"/>
    <x v="3"/>
    <x v="35"/>
    <x v="1"/>
    <n v="7500"/>
    <n v="7500"/>
    <n v="0"/>
    <x v="1"/>
    <x v="0"/>
  </r>
  <r>
    <n v="30"/>
    <n v="18030"/>
    <s v="Aman Jaiswal"/>
    <s v="Azamuddeen"/>
    <x v="0"/>
    <x v="2"/>
    <x v="36"/>
    <x v="1"/>
    <n v="3200"/>
    <n v="3200"/>
    <n v="0"/>
    <x v="1"/>
    <x v="16"/>
  </r>
  <r>
    <n v="31"/>
    <n v="18031"/>
    <s v="Jakeel Khan"/>
    <s v="Madhav Ram"/>
    <x v="0"/>
    <x v="2"/>
    <x v="36"/>
    <x v="1"/>
    <n v="3200"/>
    <n v="2600"/>
    <n v="600"/>
    <x v="0"/>
    <x v="7"/>
  </r>
  <r>
    <n v="32"/>
    <n v="18032"/>
    <s v="Jameer Ahmad"/>
    <s v="Shamsuddin"/>
    <x v="0"/>
    <x v="2"/>
    <x v="36"/>
    <x v="1"/>
    <n v="3200"/>
    <n v="2800"/>
    <n v="400"/>
    <x v="0"/>
    <x v="7"/>
  </r>
  <r>
    <n v="33"/>
    <n v="18033"/>
    <s v="Lareb Khan"/>
    <s v="Jugul Kishor"/>
    <x v="1"/>
    <x v="2"/>
    <x v="36"/>
    <x v="1"/>
    <n v="3200"/>
    <n v="3200"/>
    <n v="0"/>
    <x v="1"/>
    <x v="13"/>
  </r>
  <r>
    <n v="34"/>
    <n v="18034"/>
    <s v="Sahil Khan"/>
    <s v="Moh Arif"/>
    <x v="0"/>
    <x v="2"/>
    <x v="36"/>
    <x v="1"/>
    <n v="3200"/>
    <n v="2600"/>
    <n v="600"/>
    <x v="0"/>
    <x v="3"/>
  </r>
  <r>
    <n v="35"/>
    <n v="18035"/>
    <s v="Shivani Pal"/>
    <s v="Gur Dayal Singh"/>
    <x v="0"/>
    <x v="2"/>
    <x v="36"/>
    <x v="1"/>
    <n v="3200"/>
    <n v="2800"/>
    <n v="400"/>
    <x v="0"/>
    <x v="10"/>
  </r>
  <r>
    <n v="36"/>
    <n v="18036"/>
    <s v="Ravin Nigam"/>
    <s v="Hariom Mishra"/>
    <x v="1"/>
    <x v="2"/>
    <x v="37"/>
    <x v="1"/>
    <n v="3200"/>
    <n v="1000"/>
    <n v="2200"/>
    <x v="0"/>
    <x v="12"/>
  </r>
  <r>
    <n v="37"/>
    <n v="18037"/>
    <s v="Navneet"/>
    <s v="Ram Naresh"/>
    <x v="1"/>
    <x v="2"/>
    <x v="38"/>
    <x v="1"/>
    <n v="3200"/>
    <n v="3200"/>
    <n v="0"/>
    <x v="1"/>
    <x v="13"/>
  </r>
  <r>
    <n v="38"/>
    <n v="18038"/>
    <s v="Shadab Ansari"/>
    <s v="Ram Kishore Kashyap"/>
    <x v="1"/>
    <x v="2"/>
    <x v="38"/>
    <x v="1"/>
    <n v="3200"/>
    <n v="2600"/>
    <n v="600"/>
    <x v="0"/>
    <x v="6"/>
  </r>
  <r>
    <n v="39"/>
    <n v="18039"/>
    <s v="Manish Kumar"/>
    <s v="Chhote Lal"/>
    <x v="0"/>
    <x v="2"/>
    <x v="39"/>
    <x v="1"/>
    <n v="3200"/>
    <n v="3200"/>
    <n v="0"/>
    <x v="1"/>
    <x v="0"/>
  </r>
  <r>
    <n v="40"/>
    <n v="18040"/>
    <s v="Mohammad Almas"/>
    <s v="Prahlad Singh"/>
    <x v="0"/>
    <x v="2"/>
    <x v="39"/>
    <x v="1"/>
    <n v="3200"/>
    <n v="3200"/>
    <n v="0"/>
    <x v="1"/>
    <x v="1"/>
  </r>
  <r>
    <n v="41"/>
    <n v="18041"/>
    <s v="Roshni Devi"/>
    <s v="Rajesh Kumar"/>
    <x v="0"/>
    <x v="2"/>
    <x v="39"/>
    <x v="1"/>
    <n v="3200"/>
    <n v="2600"/>
    <n v="600"/>
    <x v="0"/>
    <x v="9"/>
  </r>
  <r>
    <n v="42"/>
    <n v="18042"/>
    <s v="Akash Deep Singh"/>
    <s v="Chandrika Prasad"/>
    <x v="0"/>
    <x v="2"/>
    <x v="40"/>
    <x v="1"/>
    <n v="3200"/>
    <n v="3200"/>
    <n v="0"/>
    <x v="1"/>
    <x v="14"/>
  </r>
  <r>
    <n v="43"/>
    <n v="18043"/>
    <s v="Suraj Kumar"/>
    <s v="Ram Gopal Sony"/>
    <x v="0"/>
    <x v="2"/>
    <x v="40"/>
    <x v="1"/>
    <n v="3200"/>
    <n v="2800"/>
    <n v="400"/>
    <x v="0"/>
    <x v="2"/>
  </r>
  <r>
    <n v="753"/>
    <n v="18753"/>
    <s v="Imtiyaz"/>
    <s v="Ramswarup"/>
    <x v="1"/>
    <x v="2"/>
    <x v="40"/>
    <x v="1"/>
    <n v="3200"/>
    <n v="2800"/>
    <n v="400"/>
    <x v="0"/>
    <x v="12"/>
  </r>
  <r>
    <n v="754"/>
    <n v="18754"/>
    <s v="Jagdish Gautam"/>
    <s v="Vinod Yadav"/>
    <x v="1"/>
    <x v="2"/>
    <x v="41"/>
    <x v="1"/>
    <n v="3200"/>
    <n v="2600"/>
    <n v="600"/>
    <x v="0"/>
    <x v="14"/>
  </r>
  <r>
    <n v="755"/>
    <n v="18755"/>
    <s v="Manish Kumar"/>
    <s v="Sonu Gupta"/>
    <x v="1"/>
    <x v="2"/>
    <x v="41"/>
    <x v="1"/>
    <n v="3200"/>
    <n v="2600"/>
    <n v="600"/>
    <x v="0"/>
    <x v="2"/>
  </r>
  <r>
    <n v="756"/>
    <n v="18756"/>
    <s v="Susheel Kumar"/>
    <s v="Siya Nand Giri"/>
    <x v="0"/>
    <x v="2"/>
    <x v="41"/>
    <x v="1"/>
    <n v="3200"/>
    <n v="3200"/>
    <n v="0"/>
    <x v="1"/>
    <x v="16"/>
  </r>
  <r>
    <n v="757"/>
    <n v="18757"/>
    <s v="Tausheeb Ahmad"/>
    <s v="Bindra Prasad"/>
    <x v="0"/>
    <x v="2"/>
    <x v="41"/>
    <x v="1"/>
    <n v="3200"/>
    <n v="3200"/>
    <n v="0"/>
    <x v="1"/>
    <x v="16"/>
  </r>
  <r>
    <n v="758"/>
    <n v="18758"/>
    <s v="Sushil"/>
    <s v="Rangilal Rajpoot"/>
    <x v="0"/>
    <x v="2"/>
    <x v="42"/>
    <x v="1"/>
    <n v="3200"/>
    <n v="3200"/>
    <n v="0"/>
    <x v="1"/>
    <x v="7"/>
  </r>
  <r>
    <n v="794"/>
    <n v="18794"/>
    <s v="Km Gulista Bano"/>
    <s v="Dwadshi"/>
    <x v="0"/>
    <x v="2"/>
    <x v="42"/>
    <x v="1"/>
    <n v="3200"/>
    <n v="2600"/>
    <n v="600"/>
    <x v="0"/>
    <x v="6"/>
  </r>
  <r>
    <n v="795"/>
    <n v="18795"/>
    <s v="Ansh Kashyap"/>
    <s v="Parmeshwar Kashyap"/>
    <x v="1"/>
    <x v="2"/>
    <x v="43"/>
    <x v="1"/>
    <n v="3200"/>
    <n v="3200"/>
    <n v="0"/>
    <x v="1"/>
    <x v="0"/>
  </r>
  <r>
    <n v="796"/>
    <n v="18796"/>
    <s v="Chandani Devi"/>
    <s v="Gaya Prasad"/>
    <x v="1"/>
    <x v="2"/>
    <x v="43"/>
    <x v="1"/>
    <n v="3200"/>
    <n v="3200"/>
    <n v="0"/>
    <x v="1"/>
    <x v="1"/>
  </r>
  <r>
    <n v="797"/>
    <n v="18797"/>
    <s v="Priya Raj"/>
    <s v="Siddhiprakash"/>
    <x v="0"/>
    <x v="2"/>
    <x v="43"/>
    <x v="1"/>
    <n v="3200"/>
    <n v="2600"/>
    <n v="600"/>
    <x v="0"/>
    <x v="9"/>
  </r>
  <r>
    <n v="798"/>
    <n v="18798"/>
    <s v="Chandni Kashyap"/>
    <s v="Ram Prakash"/>
    <x v="0"/>
    <x v="2"/>
    <x v="44"/>
    <x v="1"/>
    <n v="3200"/>
    <n v="2800"/>
    <n v="400"/>
    <x v="0"/>
    <x v="14"/>
  </r>
  <r>
    <n v="799"/>
    <n v="18799"/>
    <s v="Harduari Lal"/>
    <s v="Mohan Lal"/>
    <x v="0"/>
    <x v="2"/>
    <x v="44"/>
    <x v="1"/>
    <n v="3200"/>
    <n v="2800"/>
    <n v="400"/>
    <x v="0"/>
    <x v="2"/>
  </r>
  <r>
    <n v="800"/>
    <n v="18800"/>
    <s v="Km Anshika Srivastava"/>
    <s v="Laxmi Narayan"/>
    <x v="1"/>
    <x v="2"/>
    <x v="44"/>
    <x v="1"/>
    <n v="3200"/>
    <n v="3200"/>
    <n v="0"/>
    <x v="1"/>
    <x v="3"/>
  </r>
  <r>
    <n v="801"/>
    <n v="18801"/>
    <s v="Sakshi Srivastava"/>
    <s v="Gaya Prasad"/>
    <x v="0"/>
    <x v="2"/>
    <x v="44"/>
    <x v="1"/>
    <n v="3200"/>
    <n v="2500"/>
    <n v="700"/>
    <x v="0"/>
    <x v="10"/>
  </r>
  <r>
    <n v="802"/>
    <n v="18802"/>
    <s v="Somvati Raj"/>
    <s v="Devraj"/>
    <x v="0"/>
    <x v="2"/>
    <x v="45"/>
    <x v="1"/>
    <n v="3200"/>
    <n v="2600"/>
    <n v="600"/>
    <x v="0"/>
    <x v="12"/>
  </r>
  <r>
    <n v="803"/>
    <n v="18803"/>
    <s v="Subhi Singh"/>
    <s v="Krishna Pratap Singh"/>
    <x v="0"/>
    <x v="2"/>
    <x v="45"/>
    <x v="1"/>
    <n v="3200"/>
    <n v="3200"/>
    <n v="0"/>
    <x v="1"/>
    <x v="13"/>
  </r>
  <r>
    <n v="804"/>
    <n v="18804"/>
    <s v="Km Jyoti Bhargava"/>
    <s v="Shreekant Gupta"/>
    <x v="1"/>
    <x v="2"/>
    <x v="46"/>
    <x v="1"/>
    <n v="3200"/>
    <n v="3200"/>
    <n v="0"/>
    <x v="1"/>
    <x v="6"/>
  </r>
  <r>
    <n v="805"/>
    <n v="18805"/>
    <s v="Km Saima Bano"/>
    <s v="Ravindra Gupta"/>
    <x v="1"/>
    <x v="2"/>
    <x v="46"/>
    <x v="1"/>
    <n v="3200"/>
    <n v="2600"/>
    <n v="600"/>
    <x v="0"/>
    <x v="0"/>
  </r>
  <r>
    <n v="806"/>
    <n v="18806"/>
    <s v="Saliha Khatoon"/>
    <s v="Sarvesh Kumar"/>
    <x v="1"/>
    <x v="2"/>
    <x v="46"/>
    <x v="1"/>
    <n v="3200"/>
    <n v="3200"/>
    <n v="0"/>
    <x v="1"/>
    <x v="1"/>
  </r>
  <r>
    <n v="807"/>
    <n v="18807"/>
    <s v="Karan Kumar"/>
    <s v="Hariom Shukla"/>
    <x v="0"/>
    <x v="2"/>
    <x v="47"/>
    <x v="1"/>
    <n v="3200"/>
    <n v="3200"/>
    <n v="0"/>
    <x v="1"/>
    <x v="9"/>
  </r>
  <r>
    <n v="808"/>
    <n v="18808"/>
    <s v="Neha Devi"/>
    <s v="Balwant Singh"/>
    <x v="0"/>
    <x v="2"/>
    <x v="47"/>
    <x v="1"/>
    <n v="3200"/>
    <n v="3200"/>
    <n v="0"/>
    <x v="1"/>
    <x v="14"/>
  </r>
  <r>
    <n v="809"/>
    <n v="18809"/>
    <s v="Shalini Bharti"/>
    <s v="Chandrabhal"/>
    <x v="0"/>
    <x v="2"/>
    <x v="47"/>
    <x v="1"/>
    <n v="3200"/>
    <n v="3200"/>
    <n v="0"/>
    <x v="1"/>
    <x v="2"/>
  </r>
  <r>
    <n v="810"/>
    <n v="18810"/>
    <s v="Udit Verma"/>
    <s v="Jagdish Prasad Maurya"/>
    <x v="0"/>
    <x v="2"/>
    <x v="47"/>
    <x v="1"/>
    <n v="3200"/>
    <n v="2600"/>
    <n v="600"/>
    <x v="0"/>
    <x v="3"/>
  </r>
  <r>
    <n v="811"/>
    <n v="18811"/>
    <s v="Anjali Verma"/>
    <s v="Najakat Khan"/>
    <x v="0"/>
    <x v="2"/>
    <x v="48"/>
    <x v="1"/>
    <n v="3200"/>
    <n v="2800"/>
    <n v="400"/>
    <x v="0"/>
    <x v="10"/>
  </r>
  <r>
    <n v="812"/>
    <n v="18812"/>
    <s v="Mohd Rayyan Ansari"/>
    <s v="Ram Sewak"/>
    <x v="1"/>
    <x v="2"/>
    <x v="48"/>
    <x v="1"/>
    <n v="3200"/>
    <n v="2800"/>
    <n v="400"/>
    <x v="0"/>
    <x v="12"/>
  </r>
  <r>
    <n v="813"/>
    <n v="18813"/>
    <s v="Saloni"/>
    <s v="Nand Kishor"/>
    <x v="1"/>
    <x v="2"/>
    <x v="49"/>
    <x v="1"/>
    <n v="3200"/>
    <n v="2600"/>
    <n v="600"/>
    <x v="0"/>
    <x v="13"/>
  </r>
  <r>
    <n v="814"/>
    <n v="18814"/>
    <s v="Vipin Rajpoot"/>
    <s v="Bahadur"/>
    <x v="1"/>
    <x v="2"/>
    <x v="49"/>
    <x v="1"/>
    <n v="3200"/>
    <n v="2600"/>
    <n v="600"/>
    <x v="0"/>
    <x v="6"/>
  </r>
  <r>
    <n v="845"/>
    <n v="18845"/>
    <s v="Himanshi Yadav"/>
    <s v="Mukhtyar Singh"/>
    <x v="0"/>
    <x v="2"/>
    <x v="49"/>
    <x v="1"/>
    <n v="3200"/>
    <n v="450"/>
    <n v="2750"/>
    <x v="0"/>
    <x v="12"/>
  </r>
  <r>
    <n v="846"/>
    <n v="18846"/>
    <s v="Jagdish Chakrawarti"/>
    <s v="Ram Nivash Gupta"/>
    <x v="0"/>
    <x v="2"/>
    <x v="49"/>
    <x v="1"/>
    <n v="3200"/>
    <n v="3200"/>
    <n v="0"/>
    <x v="1"/>
    <x v="3"/>
  </r>
  <r>
    <n v="847"/>
    <n v="18847"/>
    <s v="Pratima Yadav"/>
    <s v="Arun Prkash Verma"/>
    <x v="0"/>
    <x v="2"/>
    <x v="49"/>
    <x v="1"/>
    <n v="3200"/>
    <n v="2600"/>
    <n v="600"/>
    <x v="0"/>
    <x v="10"/>
  </r>
  <r>
    <n v="848"/>
    <n v="18848"/>
    <s v="Sanjay Kumar"/>
    <s v="Raheesh Ahmad"/>
    <x v="0"/>
    <x v="2"/>
    <x v="49"/>
    <x v="1"/>
    <n v="3200"/>
    <n v="2800"/>
    <n v="400"/>
    <x v="0"/>
    <x v="10"/>
  </r>
  <r>
    <n v="849"/>
    <n v="18849"/>
    <s v="Ajay Kumar"/>
    <s v="Shailendra Kumar"/>
    <x v="0"/>
    <x v="2"/>
    <x v="50"/>
    <x v="2"/>
    <n v="3200"/>
    <n v="2600"/>
    <n v="600"/>
    <x v="0"/>
    <x v="14"/>
  </r>
  <r>
    <n v="663"/>
    <n v="18663"/>
    <s v="Deep Babu Mishra"/>
    <s v="Awadhesh Kumar Verma"/>
    <x v="1"/>
    <x v="2"/>
    <x v="51"/>
    <x v="2"/>
    <n v="3200"/>
    <n v="3200"/>
    <n v="0"/>
    <x v="1"/>
    <x v="1"/>
  </r>
  <r>
    <n v="664"/>
    <n v="18664"/>
    <s v="Sharvan Maurya"/>
    <s v="Sarda Prasad"/>
    <x v="1"/>
    <x v="2"/>
    <x v="52"/>
    <x v="2"/>
    <n v="3200"/>
    <n v="3200"/>
    <n v="0"/>
    <x v="1"/>
    <x v="2"/>
  </r>
  <r>
    <n v="665"/>
    <n v="18665"/>
    <s v="Ayush Gupta"/>
    <s v="Yuvraj Singh Yadav"/>
    <x v="0"/>
    <x v="2"/>
    <x v="53"/>
    <x v="2"/>
    <n v="3200"/>
    <n v="450"/>
    <n v="2750"/>
    <x v="0"/>
    <x v="3"/>
  </r>
  <r>
    <n v="666"/>
    <n v="18666"/>
    <s v="Gaurav Kumar"/>
    <s v="Shakeel Khan"/>
    <x v="1"/>
    <x v="2"/>
    <x v="53"/>
    <x v="2"/>
    <n v="3200"/>
    <n v="3200"/>
    <n v="0"/>
    <x v="1"/>
    <x v="4"/>
  </r>
  <r>
    <n v="667"/>
    <n v="18667"/>
    <s v="Harsh Rastogi"/>
    <s v="Ramu Gupta"/>
    <x v="0"/>
    <x v="2"/>
    <x v="53"/>
    <x v="2"/>
    <n v="3200"/>
    <n v="2800"/>
    <n v="400"/>
    <x v="0"/>
    <x v="5"/>
  </r>
  <r>
    <n v="668"/>
    <n v="18668"/>
    <s v="Bhoomi Trivedi"/>
    <s v="Mithilesh Kumar Gupta"/>
    <x v="0"/>
    <x v="2"/>
    <x v="54"/>
    <x v="2"/>
    <n v="3200"/>
    <n v="2600"/>
    <n v="600"/>
    <x v="0"/>
    <x v="6"/>
  </r>
  <r>
    <n v="669"/>
    <n v="18669"/>
    <s v="Lovely Gupta"/>
    <s v="Jaipraksh Trivedi"/>
    <x v="0"/>
    <x v="2"/>
    <x v="54"/>
    <x v="2"/>
    <n v="3200"/>
    <n v="2600"/>
    <n v="600"/>
    <x v="0"/>
    <x v="7"/>
  </r>
  <r>
    <n v="62"/>
    <n v="18062"/>
    <s v="Rukhma Devi"/>
    <s v="Radheshyam"/>
    <x v="1"/>
    <x v="2"/>
    <x v="55"/>
    <x v="2"/>
    <n v="3200"/>
    <n v="500"/>
    <n v="2700"/>
    <x v="0"/>
    <x v="10"/>
  </r>
  <r>
    <n v="670"/>
    <n v="18670"/>
    <s v="Shadaman"/>
    <s v="Maqsood Ali"/>
    <x v="0"/>
    <x v="2"/>
    <x v="55"/>
    <x v="2"/>
    <n v="3200"/>
    <n v="3200"/>
    <n v="0"/>
    <x v="1"/>
    <x v="8"/>
  </r>
  <r>
    <n v="671"/>
    <n v="18671"/>
    <s v="Shivangi Sharma"/>
    <s v="Hari Om Mishra"/>
    <x v="1"/>
    <x v="2"/>
    <x v="55"/>
    <x v="2"/>
    <n v="3200"/>
    <n v="3200"/>
    <n v="0"/>
    <x v="1"/>
    <x v="9"/>
  </r>
  <r>
    <n v="63"/>
    <n v="18063"/>
    <s v="Manoj Kumar"/>
    <s v="Saidul Hasan"/>
    <x v="0"/>
    <x v="2"/>
    <x v="56"/>
    <x v="2"/>
    <n v="3200"/>
    <n v="2600"/>
    <n v="600"/>
    <x v="0"/>
    <x v="3"/>
  </r>
  <r>
    <n v="64"/>
    <n v="18064"/>
    <s v="Riya Shrivastava"/>
    <s v="Ram Niwas"/>
    <x v="0"/>
    <x v="2"/>
    <x v="56"/>
    <x v="2"/>
    <n v="3200"/>
    <n v="3200"/>
    <n v="0"/>
    <x v="1"/>
    <x v="10"/>
  </r>
  <r>
    <n v="65"/>
    <n v="18065"/>
    <s v="Satyam Tiwari"/>
    <s v="Vikrama Rajbhar"/>
    <x v="1"/>
    <x v="2"/>
    <x v="56"/>
    <x v="2"/>
    <n v="3200"/>
    <n v="2600"/>
    <n v="600"/>
    <x v="0"/>
    <x v="12"/>
  </r>
  <r>
    <n v="66"/>
    <n v="18066"/>
    <s v="Ranjeet Kumar Raj"/>
    <s v="Bachan Lal"/>
    <x v="0"/>
    <x v="2"/>
    <x v="57"/>
    <x v="2"/>
    <n v="3200"/>
    <n v="2000"/>
    <n v="1200"/>
    <x v="0"/>
    <x v="13"/>
  </r>
  <r>
    <n v="67"/>
    <n v="18067"/>
    <s v="Vipin Mishra"/>
    <s v="Bhairav Singh"/>
    <x v="0"/>
    <x v="2"/>
    <x v="57"/>
    <x v="2"/>
    <n v="3200"/>
    <n v="3200"/>
    <n v="0"/>
    <x v="1"/>
    <x v="6"/>
  </r>
  <r>
    <n v="617"/>
    <n v="18617"/>
    <s v="Anshika Bajpai"/>
    <s v="Surendra Kumar"/>
    <x v="1"/>
    <x v="2"/>
    <x v="58"/>
    <x v="2"/>
    <n v="3200"/>
    <n v="2600"/>
    <n v="600"/>
    <x v="0"/>
    <x v="10"/>
  </r>
  <r>
    <n v="618"/>
    <n v="18618"/>
    <s v="Palak Mishra"/>
    <s v="Daya Shankar"/>
    <x v="0"/>
    <x v="2"/>
    <x v="58"/>
    <x v="2"/>
    <n v="3200"/>
    <n v="2800"/>
    <n v="400"/>
    <x v="0"/>
    <x v="3"/>
  </r>
  <r>
    <n v="619"/>
    <n v="18619"/>
    <s v="Priyanshi Mishra"/>
    <s v="Bhagauti Prasad"/>
    <x v="1"/>
    <x v="2"/>
    <x v="58"/>
    <x v="2"/>
    <n v="3200"/>
    <n v="2800"/>
    <n v="400"/>
    <x v="0"/>
    <x v="10"/>
  </r>
  <r>
    <n v="620"/>
    <n v="18620"/>
    <s v="Gajendra Singh"/>
    <s v="Dinesh Kumar Shukla"/>
    <x v="1"/>
    <x v="2"/>
    <x v="59"/>
    <x v="2"/>
    <n v="3200"/>
    <n v="2600"/>
    <n v="600"/>
    <x v="0"/>
    <x v="12"/>
  </r>
  <r>
    <n v="621"/>
    <n v="18621"/>
    <s v="Manisha Devi"/>
    <s v="Vinod Kumar"/>
    <x v="0"/>
    <x v="2"/>
    <x v="59"/>
    <x v="2"/>
    <n v="3200"/>
    <n v="3200"/>
    <n v="0"/>
    <x v="1"/>
    <x v="13"/>
  </r>
  <r>
    <n v="622"/>
    <n v="18622"/>
    <s v="S.Shernee Singh Baghel"/>
    <s v="Chandrika Prasad"/>
    <x v="0"/>
    <x v="2"/>
    <x v="59"/>
    <x v="2"/>
    <n v="3200"/>
    <n v="3200"/>
    <n v="0"/>
    <x v="1"/>
    <x v="6"/>
  </r>
  <r>
    <n v="623"/>
    <n v="18623"/>
    <s v="Anjali Verma"/>
    <s v="Jabbar Khan"/>
    <x v="0"/>
    <x v="2"/>
    <x v="60"/>
    <x v="2"/>
    <n v="3200"/>
    <n v="2600"/>
    <n v="600"/>
    <x v="0"/>
    <x v="0"/>
  </r>
  <r>
    <n v="624"/>
    <n v="18624"/>
    <s v="Km Nidhi"/>
    <s v="Vishesh Kumar Jaiswal"/>
    <x v="0"/>
    <x v="2"/>
    <x v="60"/>
    <x v="2"/>
    <n v="3200"/>
    <n v="2600"/>
    <n v="600"/>
    <x v="0"/>
    <x v="1"/>
  </r>
  <r>
    <n v="625"/>
    <n v="18625"/>
    <s v="Nitesh Chaurasiya"/>
    <s v="Shyam Singh"/>
    <x v="0"/>
    <x v="2"/>
    <x v="60"/>
    <x v="2"/>
    <n v="3200"/>
    <n v="3200"/>
    <n v="0"/>
    <x v="1"/>
    <x v="9"/>
  </r>
  <r>
    <n v="626"/>
    <n v="18626"/>
    <s v="Muskaan Awasthi"/>
    <s v="Uma Shankar Yadav"/>
    <x v="1"/>
    <x v="2"/>
    <x v="61"/>
    <x v="2"/>
    <n v="3200"/>
    <n v="1500"/>
    <n v="1700"/>
    <x v="0"/>
    <x v="14"/>
  </r>
  <r>
    <n v="627"/>
    <n v="18627"/>
    <s v="Satyansh Mishra"/>
    <s v="Mahendra Kumar Pandey"/>
    <x v="1"/>
    <x v="2"/>
    <x v="61"/>
    <x v="2"/>
    <n v="3200"/>
    <n v="3200"/>
    <n v="0"/>
    <x v="1"/>
    <x v="2"/>
  </r>
  <r>
    <n v="143"/>
    <n v="18143"/>
    <s v="Dipendra Kumar"/>
    <s v="Ashok"/>
    <x v="0"/>
    <x v="2"/>
    <x v="62"/>
    <x v="2"/>
    <n v="3200"/>
    <n v="2800"/>
    <n v="400"/>
    <x v="0"/>
    <x v="3"/>
  </r>
  <r>
    <n v="144"/>
    <n v="18144"/>
    <s v="Raju"/>
    <s v="Suneel Verma"/>
    <x v="0"/>
    <x v="2"/>
    <x v="62"/>
    <x v="2"/>
    <n v="3200"/>
    <n v="2800"/>
    <n v="400"/>
    <x v="0"/>
    <x v="10"/>
  </r>
  <r>
    <n v="628"/>
    <n v="18628"/>
    <s v="Abhinav Mishra"/>
    <s v="Ajay Pal Singh"/>
    <x v="1"/>
    <x v="2"/>
    <x v="62"/>
    <x v="2"/>
    <n v="3200"/>
    <n v="3200"/>
    <n v="0"/>
    <x v="1"/>
    <x v="3"/>
  </r>
  <r>
    <n v="145"/>
    <n v="18145"/>
    <s v="Mohit Mishra"/>
    <s v="Ramu Mishra"/>
    <x v="0"/>
    <x v="2"/>
    <x v="63"/>
    <x v="2"/>
    <n v="3200"/>
    <n v="2600"/>
    <n v="600"/>
    <x v="0"/>
    <x v="3"/>
  </r>
  <r>
    <n v="146"/>
    <n v="18146"/>
    <s v="Sonu Raj"/>
    <s v="Rakesh Chandra Mishra"/>
    <x v="0"/>
    <x v="2"/>
    <x v="63"/>
    <x v="2"/>
    <n v="3200"/>
    <n v="3200"/>
    <n v="0"/>
    <x v="1"/>
    <x v="10"/>
  </r>
  <r>
    <n v="147"/>
    <n v="18147"/>
    <s v="Taukeel Ali"/>
    <s v="Chandrika Prasad"/>
    <x v="0"/>
    <x v="2"/>
    <x v="63"/>
    <x v="2"/>
    <n v="3200"/>
    <n v="2600"/>
    <n v="600"/>
    <x v="0"/>
    <x v="12"/>
  </r>
  <r>
    <n v="148"/>
    <n v="18148"/>
    <s v="Ajay Raj"/>
    <s v="Sarvan Kumar"/>
    <x v="1"/>
    <x v="2"/>
    <x v="64"/>
    <x v="2"/>
    <n v="3200"/>
    <n v="3200"/>
    <n v="0"/>
    <x v="1"/>
    <x v="13"/>
  </r>
  <r>
    <n v="149"/>
    <n v="18149"/>
    <s v="Atul Pandey"/>
    <s v="Ravi Kant"/>
    <x v="1"/>
    <x v="2"/>
    <x v="64"/>
    <x v="2"/>
    <n v="3200"/>
    <n v="2600"/>
    <n v="600"/>
    <x v="0"/>
    <x v="6"/>
  </r>
  <r>
    <n v="150"/>
    <n v="18150"/>
    <s v="Suresh Kumar"/>
    <s v="Jagdev Prasad"/>
    <x v="1"/>
    <x v="2"/>
    <x v="64"/>
    <x v="2"/>
    <n v="3200"/>
    <n v="3200"/>
    <n v="0"/>
    <x v="1"/>
    <x v="12"/>
  </r>
  <r>
    <n v="151"/>
    <n v="18151"/>
    <s v="Aniya Singh Bhadauriya"/>
    <s v="Arvind Kuamr"/>
    <x v="0"/>
    <x v="2"/>
    <x v="65"/>
    <x v="2"/>
    <n v="3200"/>
    <n v="2600"/>
    <n v="600"/>
    <x v="0"/>
    <x v="12"/>
  </r>
  <r>
    <n v="152"/>
    <n v="18152"/>
    <s v="Sachin"/>
    <s v="Ajay"/>
    <x v="0"/>
    <x v="2"/>
    <x v="65"/>
    <x v="2"/>
    <n v="3200"/>
    <n v="3200"/>
    <n v="0"/>
    <x v="1"/>
    <x v="3"/>
  </r>
  <r>
    <n v="153"/>
    <n v="18153"/>
    <s v="Vimal Dixit"/>
    <s v="Mubarak Ali"/>
    <x v="0"/>
    <x v="2"/>
    <x v="65"/>
    <x v="2"/>
    <n v="3200"/>
    <n v="3200"/>
    <n v="0"/>
    <x v="1"/>
    <x v="10"/>
  </r>
  <r>
    <n v="83"/>
    <n v="18083"/>
    <s v="Aviral Shukla"/>
    <s v="Krishan Kumar"/>
    <x v="0"/>
    <x v="2"/>
    <x v="66"/>
    <x v="2"/>
    <n v="3200"/>
    <n v="2800"/>
    <n v="400"/>
    <x v="0"/>
    <x v="3"/>
  </r>
  <r>
    <n v="84"/>
    <n v="18084"/>
    <s v="Prince Chaurasiya"/>
    <s v="Shravan Kumar"/>
    <x v="1"/>
    <x v="2"/>
    <x v="66"/>
    <x v="2"/>
    <n v="3200"/>
    <n v="2800"/>
    <n v="400"/>
    <x v="0"/>
    <x v="10"/>
  </r>
  <r>
    <n v="85"/>
    <n v="18085"/>
    <s v="Shivam Verma"/>
    <s v="Rama Shankar"/>
    <x v="0"/>
    <x v="2"/>
    <x v="66"/>
    <x v="2"/>
    <n v="3200"/>
    <n v="3200"/>
    <n v="0"/>
    <x v="1"/>
    <x v="12"/>
  </r>
  <r>
    <n v="86"/>
    <n v="18086"/>
    <s v="Palak Devi"/>
    <s v="Rakesh Mishra"/>
    <x v="0"/>
    <x v="2"/>
    <x v="67"/>
    <x v="2"/>
    <n v="3200"/>
    <n v="3200"/>
    <n v="0"/>
    <x v="1"/>
    <x v="13"/>
  </r>
  <r>
    <n v="87"/>
    <n v="18087"/>
    <s v="Saumya Verma"/>
    <s v="Nazir Ahmad"/>
    <x v="1"/>
    <x v="2"/>
    <x v="67"/>
    <x v="2"/>
    <n v="3200"/>
    <n v="2600"/>
    <n v="600"/>
    <x v="0"/>
    <x v="6"/>
  </r>
  <r>
    <n v="88"/>
    <n v="18088"/>
    <s v="Vaibhav Gupta"/>
    <s v="Gendan Lal"/>
    <x v="1"/>
    <x v="2"/>
    <x v="67"/>
    <x v="2"/>
    <n v="3200"/>
    <n v="2600"/>
    <n v="600"/>
    <x v="0"/>
    <x v="12"/>
  </r>
  <r>
    <n v="672"/>
    <n v="18672"/>
    <s v="Fiza Bano"/>
    <s v="Shri Ram Nag"/>
    <x v="0"/>
    <x v="2"/>
    <x v="68"/>
    <x v="3"/>
    <n v="3200"/>
    <n v="3200"/>
    <n v="0"/>
    <x v="1"/>
    <x v="4"/>
  </r>
  <r>
    <n v="882"/>
    <n v="18882"/>
    <s v="Km Shiksha Devi"/>
    <s v="Bindra Prasad"/>
    <x v="0"/>
    <x v="2"/>
    <x v="68"/>
    <x v="3"/>
    <n v="3200"/>
    <n v="3200"/>
    <n v="0"/>
    <x v="1"/>
    <x v="14"/>
  </r>
  <r>
    <n v="883"/>
    <n v="18883"/>
    <s v="Saurabh Diwedi"/>
    <s v="Vijay Kumar Sharma"/>
    <x v="0"/>
    <x v="2"/>
    <x v="68"/>
    <x v="3"/>
    <n v="3200"/>
    <n v="2600"/>
    <n v="600"/>
    <x v="0"/>
    <x v="2"/>
  </r>
  <r>
    <n v="884"/>
    <n v="18884"/>
    <s v="Km Khushboo Goutam"/>
    <s v="Ramashrey Pal"/>
    <x v="0"/>
    <x v="2"/>
    <x v="69"/>
    <x v="3"/>
    <n v="3200"/>
    <n v="2600"/>
    <n v="600"/>
    <x v="0"/>
    <x v="3"/>
  </r>
  <r>
    <n v="885"/>
    <n v="18885"/>
    <s v="Rajneesh Kumar"/>
    <s v="Deepak Shukla"/>
    <x v="1"/>
    <x v="2"/>
    <x v="69"/>
    <x v="3"/>
    <n v="3200"/>
    <n v="3200"/>
    <n v="0"/>
    <x v="1"/>
    <x v="10"/>
  </r>
  <r>
    <n v="886"/>
    <n v="18886"/>
    <s v="Shiva"/>
    <s v="Uma Shankar Verma"/>
    <x v="1"/>
    <x v="2"/>
    <x v="69"/>
    <x v="3"/>
    <n v="3200"/>
    <n v="3200"/>
    <n v="0"/>
    <x v="1"/>
    <x v="12"/>
  </r>
  <r>
    <n v="887"/>
    <n v="18887"/>
    <s v="Amit Kumar"/>
    <s v="Rati Ram"/>
    <x v="0"/>
    <x v="2"/>
    <x v="70"/>
    <x v="3"/>
    <n v="3200"/>
    <n v="2800"/>
    <n v="400"/>
    <x v="0"/>
    <x v="13"/>
  </r>
  <r>
    <n v="888"/>
    <n v="18888"/>
    <s v="Ankit Diwedi"/>
    <s v="Sabir Ali"/>
    <x v="1"/>
    <x v="2"/>
    <x v="70"/>
    <x v="3"/>
    <n v="3200"/>
    <n v="3200"/>
    <n v="0"/>
    <x v="1"/>
    <x v="3"/>
  </r>
  <r>
    <n v="889"/>
    <n v="18889"/>
    <s v="Rinki Devi"/>
    <s v="Yadunath Singh"/>
    <x v="0"/>
    <x v="2"/>
    <x v="70"/>
    <x v="3"/>
    <n v="3200"/>
    <n v="2800"/>
    <n v="400"/>
    <x v="0"/>
    <x v="10"/>
  </r>
  <r>
    <n v="890"/>
    <n v="18890"/>
    <s v="Himanshu Patel"/>
    <s v="Kailash Trivedi"/>
    <x v="0"/>
    <x v="2"/>
    <x v="71"/>
    <x v="3"/>
    <n v="3200"/>
    <n v="2600"/>
    <n v="600"/>
    <x v="0"/>
    <x v="12"/>
  </r>
  <r>
    <n v="891"/>
    <n v="18891"/>
    <s v="Madhu Devi Vishwakarma"/>
    <s v="Jayram"/>
    <x v="0"/>
    <x v="2"/>
    <x v="71"/>
    <x v="3"/>
    <n v="3200"/>
    <n v="3200"/>
    <n v="0"/>
    <x v="1"/>
    <x v="13"/>
  </r>
  <r>
    <n v="892"/>
    <n v="18892"/>
    <s v="Raman Kumar"/>
    <s v="Natharam"/>
    <x v="0"/>
    <x v="2"/>
    <x v="71"/>
    <x v="3"/>
    <n v="3200"/>
    <n v="2600"/>
    <n v="600"/>
    <x v="0"/>
    <x v="6"/>
  </r>
  <r>
    <n v="893"/>
    <n v="18893"/>
    <s v="Anil Kumar"/>
    <s v="Mahfooz Khan"/>
    <x v="1"/>
    <x v="2"/>
    <x v="72"/>
    <x v="3"/>
    <n v="3200"/>
    <n v="3200"/>
    <n v="0"/>
    <x v="1"/>
    <x v="12"/>
  </r>
  <r>
    <n v="894"/>
    <n v="18894"/>
    <s v="Km Kranti Devi"/>
    <s v="Pankaj Singh"/>
    <x v="1"/>
    <x v="2"/>
    <x v="72"/>
    <x v="3"/>
    <n v="3200"/>
    <n v="400"/>
    <n v="2800"/>
    <x v="0"/>
    <x v="12"/>
  </r>
  <r>
    <n v="895"/>
    <n v="18895"/>
    <s v="Mohammad Ahtisham"/>
    <s v="Santosh Tiwari"/>
    <x v="1"/>
    <x v="2"/>
    <x v="72"/>
    <x v="3"/>
    <n v="3200"/>
    <n v="2600"/>
    <n v="600"/>
    <x v="0"/>
    <x v="3"/>
  </r>
  <r>
    <n v="89"/>
    <n v="18089"/>
    <s v="Ram Lakhan"/>
    <s v="Rajesh Gutpa"/>
    <x v="0"/>
    <x v="4"/>
    <x v="73"/>
    <x v="3"/>
    <n v="1800"/>
    <n v="1800"/>
    <n v="0"/>
    <x v="1"/>
    <x v="12"/>
  </r>
  <r>
    <n v="90"/>
    <n v="18090"/>
    <s v="Shivam"/>
    <s v="Raj Bahadur"/>
    <x v="0"/>
    <x v="4"/>
    <x v="73"/>
    <x v="3"/>
    <n v="1800"/>
    <n v="1800"/>
    <n v="0"/>
    <x v="1"/>
    <x v="3"/>
  </r>
  <r>
    <n v="629"/>
    <n v="18629"/>
    <s v="Km Supriya Yadav"/>
    <s v="Ashish Kumar Shukla"/>
    <x v="0"/>
    <x v="4"/>
    <x v="73"/>
    <x v="3"/>
    <n v="1800"/>
    <n v="1200"/>
    <n v="600"/>
    <x v="0"/>
    <x v="10"/>
  </r>
  <r>
    <n v="896"/>
    <n v="18896"/>
    <s v="Mohammad Farhad Khan"/>
    <s v="Hari Pal Singh"/>
    <x v="0"/>
    <x v="2"/>
    <x v="74"/>
    <x v="3"/>
    <n v="3200"/>
    <n v="2600"/>
    <n v="600"/>
    <x v="0"/>
    <x v="10"/>
  </r>
  <r>
    <n v="897"/>
    <n v="18897"/>
    <s v="Mohd Aman"/>
    <s v="Rakesh Kumar"/>
    <x v="1"/>
    <x v="4"/>
    <x v="74"/>
    <x v="3"/>
    <n v="1800"/>
    <n v="1400"/>
    <n v="400"/>
    <x v="0"/>
    <x v="10"/>
  </r>
  <r>
    <n v="898"/>
    <n v="18898"/>
    <s v="Sarfaraz"/>
    <s v="Ramesh Kumar"/>
    <x v="0"/>
    <x v="4"/>
    <x v="74"/>
    <x v="3"/>
    <n v="1800"/>
    <n v="1800"/>
    <n v="0"/>
    <x v="1"/>
    <x v="14"/>
  </r>
  <r>
    <n v="759"/>
    <n v="18759"/>
    <s v="Avdhesh Singh"/>
    <s v="Ramkumar"/>
    <x v="1"/>
    <x v="3"/>
    <x v="75"/>
    <x v="3"/>
    <n v="7500"/>
    <n v="700"/>
    <n v="6800"/>
    <x v="0"/>
    <x v="7"/>
  </r>
  <r>
    <n v="760"/>
    <n v="18760"/>
    <s v="Manjeet Singh"/>
    <s v="Anil Verma"/>
    <x v="0"/>
    <x v="3"/>
    <x v="75"/>
    <x v="3"/>
    <n v="7500"/>
    <n v="6900"/>
    <n v="600"/>
    <x v="0"/>
    <x v="13"/>
  </r>
  <r>
    <n v="761"/>
    <n v="18761"/>
    <s v="Shiwa Kumar"/>
    <s v="Salim Khan"/>
    <x v="1"/>
    <x v="3"/>
    <x v="75"/>
    <x v="3"/>
    <n v="7500"/>
    <n v="7500"/>
    <n v="0"/>
    <x v="1"/>
    <x v="3"/>
  </r>
  <r>
    <n v="762"/>
    <n v="18762"/>
    <s v="Aman Sahni"/>
    <s v="Raheesh Ahmad"/>
    <x v="0"/>
    <x v="3"/>
    <x v="76"/>
    <x v="3"/>
    <n v="7500"/>
    <n v="7500"/>
    <n v="0"/>
    <x v="1"/>
    <x v="10"/>
  </r>
  <r>
    <n v="763"/>
    <n v="18763"/>
    <s v="Harinand"/>
    <s v="Rajendra Prasad"/>
    <x v="0"/>
    <x v="3"/>
    <x v="76"/>
    <x v="3"/>
    <n v="7500"/>
    <n v="7500"/>
    <n v="0"/>
    <x v="1"/>
    <x v="12"/>
  </r>
  <r>
    <n v="764"/>
    <n v="18764"/>
    <s v="Rajan Sahni"/>
    <s v="Sanjay Soni"/>
    <x v="0"/>
    <x v="3"/>
    <x v="76"/>
    <x v="3"/>
    <n v="7500"/>
    <n v="7500"/>
    <n v="0"/>
    <x v="1"/>
    <x v="13"/>
  </r>
  <r>
    <n v="765"/>
    <n v="18765"/>
    <s v="Indar Kumar"/>
    <s v="Ram Mitra"/>
    <x v="1"/>
    <x v="3"/>
    <x v="77"/>
    <x v="3"/>
    <n v="7500"/>
    <n v="7100"/>
    <n v="400"/>
    <x v="0"/>
    <x v="6"/>
  </r>
  <r>
    <n v="766"/>
    <n v="18766"/>
    <s v="Rohit Jaishawal"/>
    <s v="Azad Ali"/>
    <x v="0"/>
    <x v="3"/>
    <x v="77"/>
    <x v="3"/>
    <n v="7500"/>
    <n v="7100"/>
    <n v="400"/>
    <x v="0"/>
    <x v="0"/>
  </r>
  <r>
    <n v="774"/>
    <n v="18774"/>
    <s v="Arti Mishra"/>
    <s v="Gayadeen Singh Baghel"/>
    <x v="1"/>
    <x v="3"/>
    <x v="77"/>
    <x v="3"/>
    <n v="7500"/>
    <n v="6900"/>
    <n v="600"/>
    <x v="0"/>
    <x v="13"/>
  </r>
  <r>
    <n v="775"/>
    <n v="18775"/>
    <s v="Subhashinee"/>
    <s v="Shiv Om Shukla"/>
    <x v="1"/>
    <x v="3"/>
    <x v="78"/>
    <x v="3"/>
    <n v="7500"/>
    <n v="6900"/>
    <n v="600"/>
    <x v="0"/>
    <x v="6"/>
  </r>
  <r>
    <n v="776"/>
    <n v="18776"/>
    <s v="Aman"/>
    <s v="Rajesh Kumar"/>
    <x v="0"/>
    <x v="3"/>
    <x v="79"/>
    <x v="3"/>
    <n v="7500"/>
    <n v="1800"/>
    <n v="5700"/>
    <x v="0"/>
    <x v="0"/>
  </r>
  <r>
    <n v="777"/>
    <n v="18777"/>
    <s v="Ambuj Sharma"/>
    <s v="Om Prakash"/>
    <x v="0"/>
    <x v="3"/>
    <x v="79"/>
    <x v="3"/>
    <n v="7500"/>
    <n v="7500"/>
    <n v="0"/>
    <x v="1"/>
    <x v="1"/>
  </r>
  <r>
    <n v="778"/>
    <n v="18778"/>
    <s v="Amit Kumar"/>
    <s v="Anilprasad Singh"/>
    <x v="0"/>
    <x v="3"/>
    <x v="79"/>
    <x v="3"/>
    <n v="7500"/>
    <n v="7500"/>
    <n v="0"/>
    <x v="1"/>
    <x v="9"/>
  </r>
  <r>
    <n v="779"/>
    <n v="18779"/>
    <s v="Amrendra Kumar Shukla"/>
    <s v="Rajendra Kumar"/>
    <x v="0"/>
    <x v="3"/>
    <x v="80"/>
    <x v="3"/>
    <n v="7500"/>
    <n v="6900"/>
    <n v="600"/>
    <x v="0"/>
    <x v="14"/>
  </r>
  <r>
    <n v="780"/>
    <n v="18780"/>
    <s v="Ashutosh Gupta"/>
    <s v="Ram Nivas"/>
    <x v="0"/>
    <x v="3"/>
    <x v="80"/>
    <x v="3"/>
    <n v="7500"/>
    <n v="6900"/>
    <n v="600"/>
    <x v="0"/>
    <x v="2"/>
  </r>
  <r>
    <n v="781"/>
    <n v="18781"/>
    <s v="Ayush Kumar Mishra"/>
    <s v="Mohammad Faheem Khan"/>
    <x v="1"/>
    <x v="3"/>
    <x v="80"/>
    <x v="3"/>
    <n v="7500"/>
    <n v="7500"/>
    <n v="0"/>
    <x v="1"/>
    <x v="3"/>
  </r>
  <r>
    <n v="782"/>
    <n v="18782"/>
    <s v="Himanshu Mishra"/>
    <s v="Hari Narayan"/>
    <x v="1"/>
    <x v="3"/>
    <x v="81"/>
    <x v="3"/>
    <n v="7500"/>
    <n v="7500"/>
    <n v="0"/>
    <x v="1"/>
    <x v="10"/>
  </r>
  <r>
    <n v="783"/>
    <n v="18783"/>
    <s v="Irfan Ali"/>
    <s v="Ramesh Chandra"/>
    <x v="1"/>
    <x v="3"/>
    <x v="81"/>
    <x v="3"/>
    <n v="7500"/>
    <n v="7500"/>
    <n v="0"/>
    <x v="1"/>
    <x v="12"/>
  </r>
  <r>
    <n v="784"/>
    <n v="18784"/>
    <s v="Lavakesh"/>
    <s v="Vimlesh Kumar"/>
    <x v="0"/>
    <x v="3"/>
    <x v="81"/>
    <x v="3"/>
    <n v="7500"/>
    <n v="7100"/>
    <n v="400"/>
    <x v="0"/>
    <x v="13"/>
  </r>
  <r>
    <n v="785"/>
    <n v="18785"/>
    <s v="Rustam"/>
    <s v="Devraj"/>
    <x v="0"/>
    <x v="3"/>
    <x v="82"/>
    <x v="3"/>
    <n v="7500"/>
    <n v="2300"/>
    <n v="5200"/>
    <x v="0"/>
    <x v="6"/>
  </r>
  <r>
    <n v="786"/>
    <n v="18786"/>
    <s v="Satyendra Kumar"/>
    <s v="Deenanath Sharma"/>
    <x v="0"/>
    <x v="3"/>
    <x v="82"/>
    <x v="3"/>
    <n v="7500"/>
    <n v="6900"/>
    <n v="600"/>
    <x v="0"/>
    <x v="12"/>
  </r>
  <r>
    <n v="787"/>
    <n v="18787"/>
    <s v="Shobhit Verma"/>
    <s v="Babu Ram"/>
    <x v="0"/>
    <x v="3"/>
    <x v="82"/>
    <x v="3"/>
    <n v="7500"/>
    <n v="6900"/>
    <n v="600"/>
    <x v="0"/>
    <x v="12"/>
  </r>
  <r>
    <n v="788"/>
    <n v="18788"/>
    <s v="Sumit Yadav"/>
    <s v="Rajendra Kumar"/>
    <x v="0"/>
    <x v="3"/>
    <x v="83"/>
    <x v="3"/>
    <n v="7500"/>
    <n v="7500"/>
    <n v="0"/>
    <x v="1"/>
    <x v="3"/>
  </r>
  <r>
    <n v="789"/>
    <n v="18789"/>
    <s v="Suraj Verma"/>
    <s v="Rakesh Kumar"/>
    <x v="1"/>
    <x v="3"/>
    <x v="83"/>
    <x v="3"/>
    <n v="7500"/>
    <n v="2500"/>
    <n v="5000"/>
    <x v="0"/>
    <x v="10"/>
  </r>
  <r>
    <n v="790"/>
    <n v="18790"/>
    <s v="Upmanyu Mishra"/>
    <s v="Gaya Prasad"/>
    <x v="1"/>
    <x v="3"/>
    <x v="83"/>
    <x v="3"/>
    <n v="7500"/>
    <n v="7500"/>
    <n v="0"/>
    <x v="1"/>
    <x v="3"/>
  </r>
  <r>
    <n v="791"/>
    <n v="18791"/>
    <s v="Veerendra Kumar"/>
    <s v="Dharmendra Kumar"/>
    <x v="1"/>
    <x v="3"/>
    <x v="84"/>
    <x v="3"/>
    <n v="7500"/>
    <n v="6900"/>
    <n v="600"/>
    <x v="0"/>
    <x v="10"/>
  </r>
  <r>
    <n v="815"/>
    <n v="18815"/>
    <s v="Ajay Kumar"/>
    <s v="Gaya Prasad"/>
    <x v="0"/>
    <x v="3"/>
    <x v="84"/>
    <x v="3"/>
    <n v="7500"/>
    <n v="6900"/>
    <n v="600"/>
    <x v="0"/>
    <x v="12"/>
  </r>
  <r>
    <n v="816"/>
    <n v="18816"/>
    <s v="Anchal Kumar Verma"/>
    <s v="Satish Chandra Saxena"/>
    <x v="0"/>
    <x v="3"/>
    <x v="84"/>
    <x v="3"/>
    <n v="7500"/>
    <n v="7500"/>
    <n v="0"/>
    <x v="1"/>
    <x v="12"/>
  </r>
  <r>
    <n v="817"/>
    <n v="18817"/>
    <s v="Ankur Gaur"/>
    <s v="Ramesh Chandra Bharti"/>
    <x v="0"/>
    <x v="3"/>
    <x v="85"/>
    <x v="3"/>
    <n v="7500"/>
    <n v="7500"/>
    <n v="0"/>
    <x v="1"/>
    <x v="3"/>
  </r>
  <r>
    <n v="818"/>
    <n v="18818"/>
    <s v="Gitesh Kumar Gaur"/>
    <s v="Mukesh Singh"/>
    <x v="0"/>
    <x v="3"/>
    <x v="85"/>
    <x v="3"/>
    <n v="7500"/>
    <n v="7500"/>
    <n v="0"/>
    <x v="1"/>
    <x v="10"/>
  </r>
  <r>
    <n v="819"/>
    <n v="18819"/>
    <s v="Shailendra Kumar Verma"/>
    <s v="Ram Autar"/>
    <x v="0"/>
    <x v="3"/>
    <x v="85"/>
    <x v="3"/>
    <n v="7500"/>
    <n v="7100"/>
    <n v="400"/>
    <x v="0"/>
    <x v="3"/>
  </r>
  <r>
    <n v="820"/>
    <n v="18820"/>
    <s v="Sachin Kumar"/>
    <s v="Tejkaran"/>
    <x v="1"/>
    <x v="3"/>
    <x v="86"/>
    <x v="3"/>
    <n v="7500"/>
    <n v="6900"/>
    <n v="600"/>
    <x v="0"/>
    <x v="10"/>
  </r>
  <r>
    <n v="821"/>
    <n v="18821"/>
    <s v="Saurabh Mishra"/>
    <s v="Anil Mishra"/>
    <x v="1"/>
    <x v="3"/>
    <x v="86"/>
    <x v="3"/>
    <n v="7500"/>
    <n v="7100"/>
    <n v="400"/>
    <x v="0"/>
    <x v="12"/>
  </r>
  <r>
    <n v="822"/>
    <n v="18822"/>
    <s v="Km Afreen Naz"/>
    <s v="Gayatri Prasad"/>
    <x v="1"/>
    <x v="3"/>
    <x v="87"/>
    <x v="3"/>
    <n v="7500"/>
    <n v="6900"/>
    <n v="600"/>
    <x v="0"/>
    <x v="13"/>
  </r>
  <r>
    <n v="673"/>
    <n v="18673"/>
    <s v="Shubhi Awasthi"/>
    <s v="Ramesh Jha"/>
    <x v="0"/>
    <x v="3"/>
    <x v="88"/>
    <x v="3"/>
    <n v="7500"/>
    <n v="7500"/>
    <n v="0"/>
    <x v="1"/>
    <x v="5"/>
  </r>
  <r>
    <n v="823"/>
    <n v="18823"/>
    <s v="Mohd Sahil"/>
    <s v="Shiv Kishor"/>
    <x v="0"/>
    <x v="3"/>
    <x v="88"/>
    <x v="3"/>
    <n v="7500"/>
    <n v="7500"/>
    <n v="0"/>
    <x v="1"/>
    <x v="6"/>
  </r>
  <r>
    <n v="824"/>
    <n v="18824"/>
    <s v="Samar Srivastava"/>
    <s v="Rajendra Kumar"/>
    <x v="0"/>
    <x v="3"/>
    <x v="88"/>
    <x v="3"/>
    <n v="7500"/>
    <n v="7500"/>
    <n v="0"/>
    <x v="1"/>
    <x v="0"/>
  </r>
  <r>
    <n v="674"/>
    <n v="18674"/>
    <s v="Anshika Dixit"/>
    <s v="Pawan Singh"/>
    <x v="0"/>
    <x v="3"/>
    <x v="89"/>
    <x v="3"/>
    <n v="7500"/>
    <n v="6900"/>
    <n v="600"/>
    <x v="0"/>
    <x v="0"/>
  </r>
  <r>
    <n v="675"/>
    <n v="18675"/>
    <s v="Meena Devi"/>
    <s v="Amir Hasan"/>
    <x v="0"/>
    <x v="3"/>
    <x v="89"/>
    <x v="3"/>
    <n v="7500"/>
    <n v="6900"/>
    <n v="600"/>
    <x v="0"/>
    <x v="10"/>
  </r>
  <r>
    <n v="676"/>
    <n v="18676"/>
    <s v="Ruchi Bharti"/>
    <s v="Ram Muneesh"/>
    <x v="1"/>
    <x v="3"/>
    <x v="89"/>
    <x v="3"/>
    <n v="7500"/>
    <n v="7500"/>
    <n v="0"/>
    <x v="1"/>
    <x v="11"/>
  </r>
  <r>
    <n v="677"/>
    <n v="18677"/>
    <s v="Abhishek Gautam"/>
    <s v="Sannu Lal Soni"/>
    <x v="1"/>
    <x v="3"/>
    <x v="90"/>
    <x v="4"/>
    <n v="7500"/>
    <n v="7500"/>
    <n v="0"/>
    <x v="1"/>
    <x v="15"/>
  </r>
  <r>
    <n v="678"/>
    <n v="18678"/>
    <s v="Fariha Khatoon"/>
    <s v="Jay Shankar Mishra"/>
    <x v="0"/>
    <x v="3"/>
    <x v="90"/>
    <x v="4"/>
    <n v="7500"/>
    <n v="7100"/>
    <n v="400"/>
    <x v="0"/>
    <x v="11"/>
  </r>
  <r>
    <n v="679"/>
    <n v="18679"/>
    <s v="Shahina"/>
    <s v="Yogendra Prasad Yadav"/>
    <x v="1"/>
    <x v="3"/>
    <x v="90"/>
    <x v="4"/>
    <n v="7500"/>
    <n v="7500"/>
    <n v="0"/>
    <x v="1"/>
    <x v="15"/>
  </r>
  <r>
    <n v="680"/>
    <n v="18680"/>
    <s v="Anamika Singh"/>
    <s v="Ganesh Sahani"/>
    <x v="0"/>
    <x v="3"/>
    <x v="91"/>
    <x v="4"/>
    <n v="7500"/>
    <n v="6900"/>
    <n v="600"/>
    <x v="0"/>
    <x v="15"/>
  </r>
  <r>
    <n v="681"/>
    <n v="18681"/>
    <s v="Mohd. Saif"/>
    <s v="Ram Kumar"/>
    <x v="0"/>
    <x v="3"/>
    <x v="91"/>
    <x v="4"/>
    <n v="7500"/>
    <n v="7100"/>
    <n v="400"/>
    <x v="0"/>
    <x v="11"/>
  </r>
  <r>
    <n v="682"/>
    <n v="18682"/>
    <s v="Roshani Raj"/>
    <s v="Ram Gopal"/>
    <x v="0"/>
    <x v="3"/>
    <x v="91"/>
    <x v="4"/>
    <n v="7500"/>
    <n v="6900"/>
    <n v="600"/>
    <x v="0"/>
    <x v="1"/>
  </r>
  <r>
    <n v="683"/>
    <n v="18683"/>
    <s v="Mo. Faijan"/>
    <s v="Anil Kumar"/>
    <x v="1"/>
    <x v="3"/>
    <x v="92"/>
    <x v="4"/>
    <n v="7500"/>
    <n v="7500"/>
    <n v="0"/>
    <x v="1"/>
    <x v="16"/>
  </r>
  <r>
    <n v="684"/>
    <n v="18684"/>
    <s v="Mohammad Monish Khan"/>
    <s v="Brajesh Rastogi"/>
    <x v="1"/>
    <x v="3"/>
    <x v="92"/>
    <x v="4"/>
    <n v="7500"/>
    <n v="7500"/>
    <n v="0"/>
    <x v="1"/>
    <x v="4"/>
  </r>
  <r>
    <n v="685"/>
    <n v="18685"/>
    <s v="Vanshika Agarwal"/>
    <s v="Ram Niwas"/>
    <x v="0"/>
    <x v="3"/>
    <x v="92"/>
    <x v="4"/>
    <n v="7500"/>
    <n v="7500"/>
    <n v="0"/>
    <x v="1"/>
    <x v="5"/>
  </r>
  <r>
    <n v="686"/>
    <n v="18686"/>
    <s v="Kishan Gupta"/>
    <s v="Vinod Kumar"/>
    <x v="0"/>
    <x v="3"/>
    <x v="93"/>
    <x v="4"/>
    <n v="7500"/>
    <n v="7500"/>
    <n v="0"/>
    <x v="1"/>
    <x v="5"/>
  </r>
  <r>
    <n v="687"/>
    <n v="18687"/>
    <s v="Sumit Chaurasia"/>
    <s v="Chunnu"/>
    <x v="0"/>
    <x v="3"/>
    <x v="93"/>
    <x v="4"/>
    <n v="7500"/>
    <n v="6900"/>
    <n v="600"/>
    <x v="0"/>
    <x v="12"/>
  </r>
  <r>
    <n v="688"/>
    <n v="18688"/>
    <s v="Vivek"/>
    <s v="Ram Khelawan"/>
    <x v="1"/>
    <x v="3"/>
    <x v="93"/>
    <x v="4"/>
    <n v="7500"/>
    <n v="900"/>
    <n v="6600"/>
    <x v="0"/>
    <x v="14"/>
  </r>
  <r>
    <n v="689"/>
    <n v="18689"/>
    <s v="Gaurav Kumar"/>
    <s v="Samiulla Chaudhari"/>
    <x v="0"/>
    <x v="3"/>
    <x v="94"/>
    <x v="4"/>
    <n v="7500"/>
    <n v="7500"/>
    <n v="0"/>
    <x v="1"/>
    <x v="2"/>
  </r>
  <r>
    <n v="690"/>
    <n v="18690"/>
    <s v="Prarabdh Singh"/>
    <s v="Moh Azad"/>
    <x v="0"/>
    <x v="3"/>
    <x v="94"/>
    <x v="4"/>
    <n v="7500"/>
    <n v="7100"/>
    <n v="400"/>
    <x v="0"/>
    <x v="16"/>
  </r>
  <r>
    <n v="691"/>
    <n v="18691"/>
    <s v="Shivam Raj"/>
    <s v="Tanu Ram Gowala"/>
    <x v="0"/>
    <x v="3"/>
    <x v="94"/>
    <x v="4"/>
    <n v="7500"/>
    <n v="800"/>
    <n v="6700"/>
    <x v="0"/>
    <x v="16"/>
  </r>
  <r>
    <n v="68"/>
    <n v="18068"/>
    <s v="Kuldeep Kumar"/>
    <s v="Ajay Baranwal"/>
    <x v="1"/>
    <x v="3"/>
    <x v="95"/>
    <x v="4"/>
    <n v="7500"/>
    <n v="6900"/>
    <n v="600"/>
    <x v="0"/>
    <x v="0"/>
  </r>
  <r>
    <n v="692"/>
    <n v="18692"/>
    <s v="Shravan Kumar"/>
    <s v="Animesh Deb"/>
    <x v="1"/>
    <x v="3"/>
    <x v="95"/>
    <x v="4"/>
    <n v="7500"/>
    <n v="6900"/>
    <n v="600"/>
    <x v="0"/>
    <x v="7"/>
  </r>
  <r>
    <n v="693"/>
    <n v="18693"/>
    <s v="Sulabh"/>
    <s v="Krishna Bahadur Singh"/>
    <x v="1"/>
    <x v="3"/>
    <x v="95"/>
    <x v="4"/>
    <n v="7500"/>
    <n v="700"/>
    <n v="6800"/>
    <x v="0"/>
    <x v="7"/>
  </r>
  <r>
    <n v="69"/>
    <n v="18069"/>
    <s v="Jyoti Yadav"/>
    <s v="Mohammad Irfan"/>
    <x v="0"/>
    <x v="3"/>
    <x v="96"/>
    <x v="4"/>
    <n v="7500"/>
    <n v="7500"/>
    <n v="0"/>
    <x v="1"/>
    <x v="1"/>
  </r>
  <r>
    <n v="70"/>
    <n v="18070"/>
    <s v="Pranshu Mishra"/>
    <s v="Ambika Shukla"/>
    <x v="0"/>
    <x v="3"/>
    <x v="96"/>
    <x v="4"/>
    <n v="7500"/>
    <n v="7500"/>
    <n v="0"/>
    <x v="1"/>
    <x v="9"/>
  </r>
  <r>
    <n v="71"/>
    <n v="18071"/>
    <s v="Vishnu"/>
    <s v="Mahfooz Khan"/>
    <x v="0"/>
    <x v="3"/>
    <x v="96"/>
    <x v="4"/>
    <n v="7500"/>
    <n v="7500"/>
    <n v="0"/>
    <x v="1"/>
    <x v="14"/>
  </r>
  <r>
    <n v="72"/>
    <n v="18072"/>
    <s v="Mohit Nag"/>
    <s v="Kamlesh Kumar"/>
    <x v="0"/>
    <x v="3"/>
    <x v="97"/>
    <x v="4"/>
    <n v="7500"/>
    <n v="6900"/>
    <n v="600"/>
    <x v="0"/>
    <x v="2"/>
  </r>
  <r>
    <n v="73"/>
    <n v="18073"/>
    <s v="Raghvendra Shukla"/>
    <s v="Ramakant"/>
    <x v="1"/>
    <x v="3"/>
    <x v="97"/>
    <x v="4"/>
    <n v="7500"/>
    <n v="7500"/>
    <n v="0"/>
    <x v="1"/>
    <x v="3"/>
  </r>
  <r>
    <n v="74"/>
    <n v="18074"/>
    <s v="Vaibhav Awasthi"/>
    <s v="Nausad Ali"/>
    <x v="0"/>
    <x v="3"/>
    <x v="97"/>
    <x v="4"/>
    <n v="7500"/>
    <n v="6900"/>
    <n v="600"/>
    <x v="0"/>
    <x v="10"/>
  </r>
  <r>
    <n v="75"/>
    <n v="18075"/>
    <s v="Akeel Khan"/>
    <s v="Devraj"/>
    <x v="1"/>
    <x v="3"/>
    <x v="98"/>
    <x v="4"/>
    <n v="7500"/>
    <n v="7500"/>
    <n v="0"/>
    <x v="1"/>
    <x v="12"/>
  </r>
  <r>
    <n v="76"/>
    <n v="18076"/>
    <s v="Ayush Mishra"/>
    <s v="Shivcharan"/>
    <x v="1"/>
    <x v="3"/>
    <x v="98"/>
    <x v="4"/>
    <n v="7500"/>
    <n v="7500"/>
    <n v="0"/>
    <x v="1"/>
    <x v="13"/>
  </r>
  <r>
    <n v="77"/>
    <n v="18077"/>
    <s v="Najis Bano"/>
    <s v="Wahid Ali"/>
    <x v="0"/>
    <x v="3"/>
    <x v="98"/>
    <x v="4"/>
    <n v="7500"/>
    <n v="7100"/>
    <n v="400"/>
    <x v="0"/>
    <x v="6"/>
  </r>
  <r>
    <n v="78"/>
    <n v="18078"/>
    <s v="Firdaush Bari"/>
    <s v="Kamlesh Kumar"/>
    <x v="0"/>
    <x v="3"/>
    <x v="99"/>
    <x v="4"/>
    <n v="7500"/>
    <n v="6900"/>
    <n v="600"/>
    <x v="0"/>
    <x v="0"/>
  </r>
  <r>
    <n v="79"/>
    <n v="18079"/>
    <s v="Himanshu Yadav"/>
    <s v="Ram Shankar"/>
    <x v="0"/>
    <x v="3"/>
    <x v="99"/>
    <x v="4"/>
    <n v="7500"/>
    <n v="6900"/>
    <n v="600"/>
    <x v="0"/>
    <x v="1"/>
  </r>
  <r>
    <n v="80"/>
    <n v="18080"/>
    <s v="Shahnuma Bano"/>
    <s v="Yogendra Prasad Yadav"/>
    <x v="0"/>
    <x v="3"/>
    <x v="99"/>
    <x v="4"/>
    <n v="7500"/>
    <n v="7100"/>
    <n v="400"/>
    <x v="0"/>
    <x v="9"/>
  </r>
  <r>
    <n v="630"/>
    <n v="18630"/>
    <s v="Km Priya Verma"/>
    <s v="Rakesh Kumar"/>
    <x v="1"/>
    <x v="3"/>
    <x v="100"/>
    <x v="4"/>
    <n v="7500"/>
    <n v="7500"/>
    <n v="0"/>
    <x v="1"/>
    <x v="3"/>
  </r>
  <r>
    <n v="631"/>
    <n v="18631"/>
    <s v="Nikhil Kumar"/>
    <s v="Vijay Shukla"/>
    <x v="1"/>
    <x v="3"/>
    <x v="100"/>
    <x v="4"/>
    <n v="7500"/>
    <n v="7500"/>
    <n v="0"/>
    <x v="1"/>
    <x v="10"/>
  </r>
  <r>
    <n v="632"/>
    <n v="18632"/>
    <s v="Shubham Pandey"/>
    <s v="Albert Silveira"/>
    <x v="0"/>
    <x v="3"/>
    <x v="100"/>
    <x v="4"/>
    <n v="7500"/>
    <n v="7500"/>
    <n v="0"/>
    <x v="1"/>
    <x v="12"/>
  </r>
  <r>
    <n v="633"/>
    <n v="18633"/>
    <s v="Abhishek Dixit"/>
    <s v="Shailendra Kumar Shukla"/>
    <x v="1"/>
    <x v="3"/>
    <x v="101"/>
    <x v="4"/>
    <n v="7500"/>
    <n v="6900"/>
    <n v="600"/>
    <x v="0"/>
    <x v="13"/>
  </r>
  <r>
    <n v="634"/>
    <n v="18634"/>
    <s v="Ajmat Ali"/>
    <s v="Uttam Kumar Nag"/>
    <x v="0"/>
    <x v="3"/>
    <x v="101"/>
    <x v="4"/>
    <n v="7500"/>
    <n v="7500"/>
    <n v="0"/>
    <x v="1"/>
    <x v="6"/>
  </r>
  <r>
    <n v="635"/>
    <n v="18635"/>
    <s v="Himanshu Singh"/>
    <s v="Mo Ahmad"/>
    <x v="0"/>
    <x v="3"/>
    <x v="101"/>
    <x v="4"/>
    <n v="7500"/>
    <n v="6900"/>
    <n v="600"/>
    <x v="0"/>
    <x v="12"/>
  </r>
  <r>
    <n v="636"/>
    <n v="18636"/>
    <s v="Anjaly Jaiswal"/>
    <s v="Rakesh Kumar"/>
    <x v="0"/>
    <x v="3"/>
    <x v="102"/>
    <x v="4"/>
    <n v="7500"/>
    <n v="1500"/>
    <n v="6000"/>
    <x v="0"/>
    <x v="12"/>
  </r>
  <r>
    <n v="637"/>
    <n v="18637"/>
    <s v="Jaid Ali"/>
    <s v="Santosh Mishra"/>
    <x v="0"/>
    <x v="3"/>
    <x v="102"/>
    <x v="4"/>
    <n v="7500"/>
    <n v="7500"/>
    <n v="0"/>
    <x v="1"/>
    <x v="3"/>
  </r>
  <r>
    <n v="638"/>
    <n v="18638"/>
    <s v="Nidhee"/>
    <s v="Paikarmadeen Verma"/>
    <x v="0"/>
    <x v="3"/>
    <x v="102"/>
    <x v="4"/>
    <n v="7500"/>
    <n v="7500"/>
    <n v="0"/>
    <x v="1"/>
    <x v="10"/>
  </r>
  <r>
    <n v="639"/>
    <n v="18639"/>
    <s v="Aditya"/>
    <s v="Anoop Awasthi"/>
    <x v="1"/>
    <x v="3"/>
    <x v="103"/>
    <x v="4"/>
    <n v="7500"/>
    <n v="6900"/>
    <n v="600"/>
    <x v="0"/>
    <x v="10"/>
  </r>
  <r>
    <n v="640"/>
    <n v="18640"/>
    <s v="Km Shital"/>
    <s v="Jalim Singh"/>
    <x v="1"/>
    <x v="3"/>
    <x v="103"/>
    <x v="4"/>
    <n v="7500"/>
    <n v="6900"/>
    <n v="600"/>
    <x v="0"/>
    <x v="14"/>
  </r>
  <r>
    <n v="641"/>
    <n v="18641"/>
    <s v="Nitin Nigam"/>
    <s v="Omkar Nath Maurya"/>
    <x v="1"/>
    <x v="3"/>
    <x v="103"/>
    <x v="4"/>
    <n v="7500"/>
    <n v="7100"/>
    <n v="400"/>
    <x v="0"/>
    <x v="2"/>
  </r>
  <r>
    <n v="642"/>
    <n v="18642"/>
    <s v="Adarsh Maurya"/>
    <s v="Jagdamba Prasad"/>
    <x v="0"/>
    <x v="3"/>
    <x v="104"/>
    <x v="4"/>
    <n v="7500"/>
    <n v="7500"/>
    <n v="0"/>
    <x v="1"/>
    <x v="3"/>
  </r>
  <r>
    <n v="643"/>
    <n v="18643"/>
    <s v="Durga Prashad"/>
    <s v="Vinod Kumar"/>
    <x v="0"/>
    <x v="3"/>
    <x v="104"/>
    <x v="4"/>
    <n v="7500"/>
    <n v="7500"/>
    <n v="0"/>
    <x v="1"/>
    <x v="10"/>
  </r>
  <r>
    <n v="644"/>
    <n v="18644"/>
    <s v="Rupali Gupta"/>
    <s v="Om Prakash"/>
    <x v="0"/>
    <x v="3"/>
    <x v="104"/>
    <x v="4"/>
    <n v="7500"/>
    <n v="7500"/>
    <n v="0"/>
    <x v="1"/>
    <x v="12"/>
  </r>
  <r>
    <n v="645"/>
    <n v="18645"/>
    <s v="Neetu"/>
    <s v="Yoonish Ali"/>
    <x v="0"/>
    <x v="3"/>
    <x v="105"/>
    <x v="4"/>
    <n v="7500"/>
    <n v="6900"/>
    <n v="600"/>
    <x v="0"/>
    <x v="13"/>
  </r>
  <r>
    <n v="646"/>
    <n v="18646"/>
    <s v="Rajan"/>
    <s v="Ram Khelavan"/>
    <x v="1"/>
    <x v="3"/>
    <x v="105"/>
    <x v="4"/>
    <n v="7500"/>
    <n v="7500"/>
    <n v="0"/>
    <x v="1"/>
    <x v="3"/>
  </r>
  <r>
    <n v="647"/>
    <n v="18647"/>
    <s v="Shalini Mitra"/>
    <s v="Manoj Upadhyay"/>
    <x v="0"/>
    <x v="3"/>
    <x v="105"/>
    <x v="4"/>
    <n v="7500"/>
    <n v="6900"/>
    <n v="600"/>
    <x v="0"/>
    <x v="10"/>
  </r>
  <r>
    <n v="154"/>
    <n v="18154"/>
    <s v="Manpreet Singh"/>
    <s v="Lekh Ram"/>
    <x v="1"/>
    <x v="3"/>
    <x v="106"/>
    <x v="4"/>
    <n v="7500"/>
    <n v="7500"/>
    <n v="0"/>
    <x v="1"/>
    <x v="10"/>
  </r>
  <r>
    <n v="155"/>
    <n v="18155"/>
    <s v="Ritesh Trivedi"/>
    <s v="Gendan Lal"/>
    <x v="0"/>
    <x v="3"/>
    <x v="106"/>
    <x v="4"/>
    <n v="7500"/>
    <n v="7100"/>
    <n v="400"/>
    <x v="0"/>
    <x v="14"/>
  </r>
  <r>
    <n v="156"/>
    <n v="18156"/>
    <s v="Vivek Kumar"/>
    <s v="Om Prakash"/>
    <x v="1"/>
    <x v="3"/>
    <x v="106"/>
    <x v="4"/>
    <n v="7500"/>
    <n v="7500"/>
    <n v="0"/>
    <x v="1"/>
    <x v="2"/>
  </r>
  <r>
    <n v="157"/>
    <n v="18157"/>
    <s v="Ankur Pal"/>
    <s v="Puttu Lal"/>
    <x v="0"/>
    <x v="3"/>
    <x v="107"/>
    <x v="4"/>
    <n v="7500"/>
    <n v="6900"/>
    <n v="600"/>
    <x v="0"/>
    <x v="3"/>
  </r>
  <r>
    <n v="158"/>
    <n v="18158"/>
    <s v="Israil"/>
    <s v="Shri Rajneesh Kumar"/>
    <x v="0"/>
    <x v="3"/>
    <x v="107"/>
    <x v="4"/>
    <n v="7500"/>
    <n v="7100"/>
    <n v="400"/>
    <x v="0"/>
    <x v="10"/>
  </r>
  <r>
    <n v="159"/>
    <n v="18159"/>
    <s v="Usman Ali"/>
    <s v="Sarvesh Kumar"/>
    <x v="0"/>
    <x v="3"/>
    <x v="107"/>
    <x v="4"/>
    <n v="7500"/>
    <n v="6900"/>
    <n v="600"/>
    <x v="0"/>
    <x v="12"/>
  </r>
  <r>
    <n v="160"/>
    <n v="18160"/>
    <s v="Alok Ray Dhangar"/>
    <s v="Abdul Gani Khan"/>
    <x v="1"/>
    <x v="3"/>
    <x v="108"/>
    <x v="4"/>
    <n v="7500"/>
    <n v="7500"/>
    <n v="0"/>
    <x v="1"/>
    <x v="13"/>
  </r>
  <r>
    <n v="161"/>
    <n v="18161"/>
    <s v="Santosh Kumar Raj"/>
    <s v="Uttam Kumar"/>
    <x v="0"/>
    <x v="3"/>
    <x v="108"/>
    <x v="4"/>
    <n v="7500"/>
    <n v="7500"/>
    <n v="0"/>
    <x v="1"/>
    <x v="3"/>
  </r>
  <r>
    <n v="162"/>
    <n v="18162"/>
    <s v="Vivek Kumar"/>
    <s v="Rati Ram"/>
    <x v="1"/>
    <x v="3"/>
    <x v="108"/>
    <x v="4"/>
    <n v="7500"/>
    <n v="7500"/>
    <n v="0"/>
    <x v="1"/>
    <x v="10"/>
  </r>
  <r>
    <n v="163"/>
    <n v="18163"/>
    <s v="Arvind Yadav"/>
    <s v="Raj Kamal"/>
    <x v="0"/>
    <x v="3"/>
    <x v="109"/>
    <x v="4"/>
    <n v="7500"/>
    <n v="6900"/>
    <n v="600"/>
    <x v="0"/>
    <x v="12"/>
  </r>
  <r>
    <n v="164"/>
    <n v="18164"/>
    <s v="Dipesh Singh Manar"/>
    <s v="Ram Naresh Chaurasia"/>
    <x v="0"/>
    <x v="3"/>
    <x v="109"/>
    <x v="4"/>
    <n v="7500"/>
    <n v="7500"/>
    <n v="0"/>
    <x v="1"/>
    <x v="13"/>
  </r>
  <r>
    <n v="165"/>
    <n v="18165"/>
    <s v="Mustakeem"/>
    <s v="Monsoor Ali"/>
    <x v="1"/>
    <x v="3"/>
    <x v="109"/>
    <x v="4"/>
    <n v="7500"/>
    <n v="6900"/>
    <n v="600"/>
    <x v="0"/>
    <x v="6"/>
  </r>
  <r>
    <n v="166"/>
    <n v="18166"/>
    <s v="Dheeraj Kumar"/>
    <s v="Maiku Lal"/>
    <x v="0"/>
    <x v="3"/>
    <x v="110"/>
    <x v="4"/>
    <n v="7500"/>
    <n v="7500"/>
    <n v="0"/>
    <x v="1"/>
    <x v="12"/>
  </r>
  <r>
    <n v="167"/>
    <n v="18167"/>
    <s v="Gulshan Yadav"/>
    <s v="Arjun Lal"/>
    <x v="0"/>
    <x v="3"/>
    <x v="110"/>
    <x v="4"/>
    <n v="7500"/>
    <n v="7500"/>
    <n v="0"/>
    <x v="1"/>
    <x v="12"/>
  </r>
  <r>
    <n v="168"/>
    <n v="18168"/>
    <s v="Manjeet Singh"/>
    <s v="Devendra Kumar"/>
    <x v="0"/>
    <x v="3"/>
    <x v="110"/>
    <x v="4"/>
    <n v="7500"/>
    <n v="7100"/>
    <n v="400"/>
    <x v="0"/>
    <x v="3"/>
  </r>
  <r>
    <n v="91"/>
    <n v="18091"/>
    <s v="Anshuman"/>
    <s v="Mubarak Ali"/>
    <x v="1"/>
    <x v="3"/>
    <x v="111"/>
    <x v="4"/>
    <n v="7500"/>
    <n v="6900"/>
    <n v="600"/>
    <x v="0"/>
    <x v="10"/>
  </r>
  <r>
    <n v="169"/>
    <n v="18169"/>
    <s v="Ankit Kumar"/>
    <s v="Om Prakash"/>
    <x v="1"/>
    <x v="3"/>
    <x v="111"/>
    <x v="4"/>
    <n v="7500"/>
    <n v="7100"/>
    <n v="400"/>
    <x v="0"/>
    <x v="10"/>
  </r>
  <r>
    <n v="170"/>
    <n v="18170"/>
    <s v="Deendayal Dixit"/>
    <s v="Brij Kishor Gaur"/>
    <x v="1"/>
    <x v="3"/>
    <x v="111"/>
    <x v="4"/>
    <n v="7500"/>
    <n v="6900"/>
    <n v="600"/>
    <x v="0"/>
    <x v="10"/>
  </r>
  <r>
    <n v="92"/>
    <n v="18092"/>
    <s v="Arpit Shukla"/>
    <s v="Brajesh Kumar"/>
    <x v="0"/>
    <x v="3"/>
    <x v="112"/>
    <x v="4"/>
    <n v="7500"/>
    <n v="7500"/>
    <n v="0"/>
    <x v="1"/>
    <x v="3"/>
  </r>
  <r>
    <n v="93"/>
    <n v="18093"/>
    <s v="Mayank Gupta"/>
    <s v="Ram Murti"/>
    <x v="0"/>
    <x v="3"/>
    <x v="112"/>
    <x v="4"/>
    <n v="7500"/>
    <n v="500"/>
    <n v="7000"/>
    <x v="0"/>
    <x v="10"/>
  </r>
  <r>
    <n v="94"/>
    <n v="18094"/>
    <s v="Ravi Yadav"/>
    <s v="Jagdish Prasad Maurya"/>
    <x v="0"/>
    <x v="3"/>
    <x v="112"/>
    <x v="4"/>
    <n v="7500"/>
    <n v="7500"/>
    <n v="0"/>
    <x v="1"/>
    <x v="12"/>
  </r>
  <r>
    <n v="95"/>
    <n v="18095"/>
    <s v="Ashish Kumar"/>
    <s v="Aatm Prakash"/>
    <x v="0"/>
    <x v="3"/>
    <x v="113"/>
    <x v="4"/>
    <n v="7500"/>
    <n v="6900"/>
    <n v="600"/>
    <x v="0"/>
    <x v="13"/>
  </r>
  <r>
    <n v="96"/>
    <n v="18096"/>
    <s v="Prince Mishra"/>
    <s v="Jagdeesh Kumar"/>
    <x v="0"/>
    <x v="2"/>
    <x v="113"/>
    <x v="4"/>
    <n v="3200"/>
    <n v="3200"/>
    <n v="0"/>
    <x v="1"/>
    <x v="6"/>
  </r>
  <r>
    <n v="899"/>
    <n v="18899"/>
    <s v="Santosh Kumar"/>
    <s v="Tauleram"/>
    <x v="1"/>
    <x v="3"/>
    <x v="113"/>
    <x v="4"/>
    <n v="7500"/>
    <n v="6900"/>
    <n v="600"/>
    <x v="0"/>
    <x v="2"/>
  </r>
  <r>
    <n v="178"/>
    <n v="18178"/>
    <s v="Bablu Maurya"/>
    <s v="Ram Sevak"/>
    <x v="1"/>
    <x v="3"/>
    <x v="114"/>
    <x v="4"/>
    <n v="7500"/>
    <n v="7500"/>
    <n v="0"/>
    <x v="1"/>
    <x v="1"/>
  </r>
  <r>
    <n v="179"/>
    <n v="18179"/>
    <s v="Suchee Devi"/>
    <s v="Mohd Sultan Ganie"/>
    <x v="0"/>
    <x v="3"/>
    <x v="114"/>
    <x v="4"/>
    <n v="7500"/>
    <n v="7500"/>
    <n v="0"/>
    <x v="1"/>
    <x v="2"/>
  </r>
  <r>
    <n v="900"/>
    <n v="18900"/>
    <s v="Mohd Meraj"/>
    <s v="Harish Chandra Singh"/>
    <x v="1"/>
    <x v="3"/>
    <x v="114"/>
    <x v="4"/>
    <n v="7500"/>
    <n v="7500"/>
    <n v="0"/>
    <x v="1"/>
    <x v="3"/>
  </r>
  <r>
    <n v="180"/>
    <n v="18180"/>
    <s v="Pallvi Verma"/>
    <s v="Samsuddin"/>
    <x v="0"/>
    <x v="3"/>
    <x v="115"/>
    <x v="4"/>
    <n v="7500"/>
    <n v="7100"/>
    <n v="400"/>
    <x v="0"/>
    <x v="3"/>
  </r>
  <r>
    <n v="181"/>
    <n v="18181"/>
    <s v="Shubham Giri"/>
    <s v="Taj Khan"/>
    <x v="0"/>
    <x v="3"/>
    <x v="115"/>
    <x v="4"/>
    <n v="7500"/>
    <n v="7100"/>
    <n v="400"/>
    <x v="0"/>
    <x v="4"/>
  </r>
  <r>
    <n v="182"/>
    <n v="18182"/>
    <s v="Shubham Kumar"/>
    <s v="Manmath Harangule"/>
    <x v="0"/>
    <x v="2"/>
    <x v="115"/>
    <x v="4"/>
    <n v="3200"/>
    <n v="3200"/>
    <n v="0"/>
    <x v="1"/>
    <x v="5"/>
  </r>
  <r>
    <n v="183"/>
    <n v="18183"/>
    <s v="Durgesh Dixit"/>
    <s v="Ankur Singh"/>
    <x v="0"/>
    <x v="3"/>
    <x v="116"/>
    <x v="4"/>
    <n v="7500"/>
    <n v="6900"/>
    <n v="600"/>
    <x v="0"/>
    <x v="6"/>
  </r>
  <r>
    <n v="184"/>
    <n v="18184"/>
    <s v="Naval Kishor Gautam"/>
    <s v="Furkan Ansari"/>
    <x v="1"/>
    <x v="3"/>
    <x v="116"/>
    <x v="4"/>
    <n v="7500"/>
    <n v="6900"/>
    <n v="600"/>
    <x v="0"/>
    <x v="7"/>
  </r>
  <r>
    <n v="185"/>
    <n v="18185"/>
    <s v="Shubham Singh"/>
    <s v="Prmod Kumar"/>
    <x v="1"/>
    <x v="3"/>
    <x v="116"/>
    <x v="4"/>
    <n v="7500"/>
    <n v="7500"/>
    <n v="0"/>
    <x v="1"/>
    <x v="8"/>
  </r>
  <r>
    <n v="186"/>
    <n v="18186"/>
    <s v="Adarsh Kumar"/>
    <s v="Ashok Kumar"/>
    <x v="0"/>
    <x v="3"/>
    <x v="117"/>
    <x v="5"/>
    <n v="7500"/>
    <n v="7500"/>
    <n v="0"/>
    <x v="1"/>
    <x v="9"/>
  </r>
  <r>
    <n v="187"/>
    <n v="18187"/>
    <s v="Khushi Mishra"/>
    <s v="Radhey Shyam"/>
    <x v="0"/>
    <x v="3"/>
    <x v="117"/>
    <x v="5"/>
    <n v="7500"/>
    <n v="6900"/>
    <n v="600"/>
    <x v="0"/>
    <x v="4"/>
  </r>
  <r>
    <n v="188"/>
    <n v="18188"/>
    <s v="Kuldeep Kevat"/>
    <s v="Akhilesh Kumar"/>
    <x v="1"/>
    <x v="3"/>
    <x v="117"/>
    <x v="5"/>
    <n v="7500"/>
    <n v="7500"/>
    <n v="0"/>
    <x v="1"/>
    <x v="5"/>
  </r>
  <r>
    <n v="189"/>
    <n v="18189"/>
    <s v="Abhishek Verma"/>
    <s v="Jaswant Kumar"/>
    <x v="0"/>
    <x v="3"/>
    <x v="118"/>
    <x v="5"/>
    <n v="7500"/>
    <n v="7500"/>
    <n v="0"/>
    <x v="1"/>
    <x v="0"/>
  </r>
  <r>
    <n v="190"/>
    <n v="18190"/>
    <s v="Nida Khatoon"/>
    <s v="Harishchandra"/>
    <x v="0"/>
    <x v="3"/>
    <x v="118"/>
    <x v="5"/>
    <n v="7500"/>
    <n v="6900"/>
    <n v="600"/>
    <x v="0"/>
    <x v="10"/>
  </r>
  <r>
    <n v="191"/>
    <n v="18191"/>
    <s v="Zufisha Irfan"/>
    <s v="Mahesh Singh"/>
    <x v="0"/>
    <x v="3"/>
    <x v="118"/>
    <x v="5"/>
    <n v="7500"/>
    <n v="7500"/>
    <n v="0"/>
    <x v="1"/>
    <x v="11"/>
  </r>
  <r>
    <n v="192"/>
    <n v="18192"/>
    <s v="Anuj Maurya"/>
    <s v="Surendra Kumar"/>
    <x v="1"/>
    <x v="3"/>
    <x v="119"/>
    <x v="5"/>
    <n v="7500"/>
    <n v="7500"/>
    <n v="0"/>
    <x v="1"/>
    <x v="15"/>
  </r>
  <r>
    <n v="193"/>
    <n v="18193"/>
    <s v="Arman Ahmad"/>
    <s v="Shyam Lal"/>
    <x v="1"/>
    <x v="3"/>
    <x v="119"/>
    <x v="5"/>
    <n v="7500"/>
    <n v="7100"/>
    <n v="400"/>
    <x v="0"/>
    <x v="11"/>
  </r>
  <r>
    <n v="194"/>
    <n v="18194"/>
    <s v="Tayyaba Irfan"/>
    <s v="Gokul Prasad"/>
    <x v="1"/>
    <x v="3"/>
    <x v="119"/>
    <x v="5"/>
    <n v="7500"/>
    <n v="7100"/>
    <n v="400"/>
    <x v="0"/>
    <x v="15"/>
  </r>
  <r>
    <n v="195"/>
    <n v="18195"/>
    <s v="Muskan Mansuri"/>
    <s v="Ajay Prakash Mishra"/>
    <x v="0"/>
    <x v="3"/>
    <x v="120"/>
    <x v="5"/>
    <n v="7500"/>
    <n v="6900"/>
    <n v="600"/>
    <x v="0"/>
    <x v="15"/>
  </r>
  <r>
    <n v="196"/>
    <n v="18196"/>
    <s v="Pradeep Kumar Verma"/>
    <s v="Sarvesh Kumar Verma"/>
    <x v="0"/>
    <x v="3"/>
    <x v="120"/>
    <x v="5"/>
    <n v="7500"/>
    <n v="7500"/>
    <n v="0"/>
    <x v="1"/>
    <x v="11"/>
  </r>
  <r>
    <n v="197"/>
    <n v="18197"/>
    <s v="Ritika Shukla"/>
    <s v="Abdul Gani Khan"/>
    <x v="0"/>
    <x v="3"/>
    <x v="120"/>
    <x v="5"/>
    <n v="7500"/>
    <n v="6900"/>
    <n v="600"/>
    <x v="0"/>
    <x v="1"/>
  </r>
  <r>
    <n v="198"/>
    <n v="18198"/>
    <s v="Akanksha Awasthi"/>
    <s v="Ram Gopal"/>
    <x v="1"/>
    <x v="3"/>
    <x v="121"/>
    <x v="5"/>
    <n v="7500"/>
    <n v="6900"/>
    <n v="600"/>
    <x v="0"/>
    <x v="16"/>
  </r>
  <r>
    <n v="199"/>
    <n v="18199"/>
    <s v="Anjali"/>
    <s v="Shyam Kumar"/>
    <x v="0"/>
    <x v="3"/>
    <x v="121"/>
    <x v="5"/>
    <n v="7500"/>
    <n v="7500"/>
    <n v="0"/>
    <x v="1"/>
    <x v="4"/>
  </r>
  <r>
    <n v="200"/>
    <n v="18200"/>
    <s v="Shravan Kumar"/>
    <s v="Ramsoch Yadav"/>
    <x v="0"/>
    <x v="3"/>
    <x v="121"/>
    <x v="5"/>
    <n v="7500"/>
    <n v="7500"/>
    <n v="0"/>
    <x v="1"/>
    <x v="5"/>
  </r>
  <r>
    <n v="201"/>
    <n v="18201"/>
    <s v="Mohd Hassan"/>
    <s v="Devendra Verma"/>
    <x v="1"/>
    <x v="3"/>
    <x v="122"/>
    <x v="5"/>
    <n v="7500"/>
    <n v="7500"/>
    <n v="0"/>
    <x v="1"/>
    <x v="5"/>
  </r>
  <r>
    <n v="202"/>
    <n v="18202"/>
    <s v="Rudra Pratap Singh"/>
    <s v="Sharda Prasad"/>
    <x v="0"/>
    <x v="3"/>
    <x v="122"/>
    <x v="5"/>
    <n v="7500"/>
    <n v="7500"/>
    <n v="0"/>
    <x v="1"/>
    <x v="12"/>
  </r>
  <r>
    <n v="203"/>
    <n v="18203"/>
    <s v="Saranjeet Kaur"/>
    <s v="Jawahar Lal Rana"/>
    <x v="1"/>
    <x v="3"/>
    <x v="122"/>
    <x v="5"/>
    <n v="7500"/>
    <n v="6900"/>
    <n v="600"/>
    <x v="0"/>
    <x v="14"/>
  </r>
  <r>
    <n v="204"/>
    <n v="18204"/>
    <s v="Geeta Raj"/>
    <s v="Lallan Swaroop Dixit"/>
    <x v="0"/>
    <x v="3"/>
    <x v="123"/>
    <x v="5"/>
    <n v="7500"/>
    <n v="7500"/>
    <n v="0"/>
    <x v="1"/>
    <x v="2"/>
  </r>
  <r>
    <n v="205"/>
    <n v="18205"/>
    <s v="Shivansh Verma"/>
    <s v="Jatinder Singh"/>
    <x v="0"/>
    <x v="3"/>
    <x v="123"/>
    <x v="5"/>
    <n v="7500"/>
    <n v="7100"/>
    <n v="400"/>
    <x v="0"/>
    <x v="16"/>
  </r>
  <r>
    <n v="206"/>
    <n v="18206"/>
    <s v="Surendra Shukla"/>
    <s v="Braj Lal"/>
    <x v="0"/>
    <x v="3"/>
    <x v="123"/>
    <x v="5"/>
    <n v="7500"/>
    <n v="7100"/>
    <n v="400"/>
    <x v="0"/>
    <x v="16"/>
  </r>
  <r>
    <n v="207"/>
    <n v="18207"/>
    <s v="Hukum Chand"/>
    <s v="Ibrahim Ali"/>
    <x v="1"/>
    <x v="3"/>
    <x v="124"/>
    <x v="5"/>
    <n v="7500"/>
    <n v="6900"/>
    <n v="600"/>
    <x v="0"/>
    <x v="7"/>
  </r>
  <r>
    <n v="208"/>
    <n v="18208"/>
    <s v="Ishika Gautam"/>
    <s v="Umashankar"/>
    <x v="1"/>
    <x v="3"/>
    <x v="124"/>
    <x v="5"/>
    <n v="7500"/>
    <n v="7500"/>
    <n v="0"/>
    <x v="1"/>
    <x v="7"/>
  </r>
  <r>
    <n v="209"/>
    <n v="18209"/>
    <s v="Vikash Kumar"/>
    <s v="Surjeet Singh"/>
    <x v="0"/>
    <x v="3"/>
    <x v="124"/>
    <x v="5"/>
    <n v="7500"/>
    <n v="6900"/>
    <n v="600"/>
    <x v="0"/>
    <x v="13"/>
  </r>
  <r>
    <n v="210"/>
    <n v="18210"/>
    <s v="Prakash Maurya"/>
    <s v="Ambika Shukla"/>
    <x v="0"/>
    <x v="3"/>
    <x v="125"/>
    <x v="5"/>
    <n v="7500"/>
    <n v="6900"/>
    <n v="600"/>
    <x v="0"/>
    <x v="0"/>
  </r>
  <r>
    <n v="211"/>
    <n v="18211"/>
    <s v="Reetesh Verma"/>
    <s v="Manoj Singh"/>
    <x v="1"/>
    <x v="3"/>
    <x v="125"/>
    <x v="5"/>
    <n v="7500"/>
    <n v="7500"/>
    <n v="0"/>
    <x v="1"/>
    <x v="1"/>
  </r>
  <r>
    <n v="212"/>
    <n v="18212"/>
    <s v="Vipanesh Kumar"/>
    <s v="Shatrohan Lal"/>
    <x v="0"/>
    <x v="3"/>
    <x v="125"/>
    <x v="5"/>
    <n v="7500"/>
    <n v="7500"/>
    <n v="0"/>
    <x v="1"/>
    <x v="2"/>
  </r>
  <r>
    <n v="213"/>
    <n v="18213"/>
    <s v="Akshdeep Singh"/>
    <s v="Yadunath Singh"/>
    <x v="0"/>
    <x v="3"/>
    <x v="126"/>
    <x v="5"/>
    <n v="7500"/>
    <n v="6900"/>
    <n v="600"/>
    <x v="0"/>
    <x v="3"/>
  </r>
  <r>
    <n v="214"/>
    <n v="18214"/>
    <s v="Ankit Kumar"/>
    <s v="Mahammad Maulana Kausar"/>
    <x v="0"/>
    <x v="3"/>
    <x v="126"/>
    <x v="5"/>
    <n v="7500"/>
    <n v="7500"/>
    <n v="0"/>
    <x v="1"/>
    <x v="4"/>
  </r>
  <r>
    <n v="215"/>
    <n v="18215"/>
    <s v="Umesh"/>
    <s v="Jay Prkash"/>
    <x v="0"/>
    <x v="3"/>
    <x v="126"/>
    <x v="5"/>
    <n v="7500"/>
    <n v="7500"/>
    <n v="0"/>
    <x v="1"/>
    <x v="5"/>
  </r>
  <r>
    <n v="216"/>
    <n v="18216"/>
    <s v="Adesh Gupta"/>
    <s v="Shiv Om Shukla"/>
    <x v="1"/>
    <x v="3"/>
    <x v="127"/>
    <x v="5"/>
    <n v="7500"/>
    <n v="7100"/>
    <n v="400"/>
    <x v="0"/>
    <x v="6"/>
  </r>
  <r>
    <n v="217"/>
    <n v="18217"/>
    <s v="Pooja Devi"/>
    <s v="Rajkishor"/>
    <x v="1"/>
    <x v="3"/>
    <x v="127"/>
    <x v="5"/>
    <n v="7500"/>
    <n v="7500"/>
    <n v="0"/>
    <x v="1"/>
    <x v="7"/>
  </r>
  <r>
    <n v="218"/>
    <n v="18218"/>
    <s v="Ranjna Gautam"/>
    <s v="Chamru"/>
    <x v="1"/>
    <x v="3"/>
    <x v="127"/>
    <x v="5"/>
    <n v="7500"/>
    <n v="7100"/>
    <n v="400"/>
    <x v="0"/>
    <x v="8"/>
  </r>
  <r>
    <n v="219"/>
    <n v="18219"/>
    <s v="Ayushi Singh"/>
    <s v="Rama Shankar"/>
    <x v="0"/>
    <x v="3"/>
    <x v="128"/>
    <x v="5"/>
    <n v="7500"/>
    <n v="6900"/>
    <n v="600"/>
    <x v="0"/>
    <x v="9"/>
  </r>
  <r>
    <n v="220"/>
    <n v="18220"/>
    <s v="Nidhi Pal"/>
    <s v="Umesh Bajpai"/>
    <x v="0"/>
    <x v="3"/>
    <x v="128"/>
    <x v="5"/>
    <n v="7500"/>
    <n v="6900"/>
    <n v="600"/>
    <x v="0"/>
    <x v="4"/>
  </r>
  <r>
    <n v="221"/>
    <n v="18221"/>
    <s v="Palak Verma"/>
    <s v="Dara Singh"/>
    <x v="0"/>
    <x v="3"/>
    <x v="128"/>
    <x v="5"/>
    <n v="7500"/>
    <n v="7500"/>
    <n v="0"/>
    <x v="1"/>
    <x v="5"/>
  </r>
  <r>
    <n v="222"/>
    <n v="18222"/>
    <s v="Abhay Pratap Singh"/>
    <s v="Dileep Kumar"/>
    <x v="1"/>
    <x v="3"/>
    <x v="129"/>
    <x v="5"/>
    <n v="7500"/>
    <n v="6900"/>
    <n v="600"/>
    <x v="0"/>
    <x v="0"/>
  </r>
  <r>
    <n v="223"/>
    <n v="18223"/>
    <s v="Anuj Kuamr"/>
    <s v="Atul Kumar Verma"/>
    <x v="0"/>
    <x v="3"/>
    <x v="129"/>
    <x v="5"/>
    <n v="7500"/>
    <n v="7500"/>
    <n v="0"/>
    <x v="1"/>
    <x v="10"/>
  </r>
  <r>
    <n v="224"/>
    <n v="18224"/>
    <s v="Nitin Kumar Verma"/>
    <s v="Gurpreet Singh"/>
    <x v="0"/>
    <x v="3"/>
    <x v="129"/>
    <x v="5"/>
    <n v="7500"/>
    <n v="7500"/>
    <n v="0"/>
    <x v="1"/>
    <x v="11"/>
  </r>
  <r>
    <n v="225"/>
    <n v="18225"/>
    <s v="Alok Srivastava"/>
    <s v="Ajay"/>
    <x v="0"/>
    <x v="3"/>
    <x v="130"/>
    <x v="5"/>
    <n v="7500"/>
    <n v="7500"/>
    <n v="0"/>
    <x v="1"/>
    <x v="15"/>
  </r>
  <r>
    <n v="226"/>
    <n v="18226"/>
    <s v="Bhavi Yadav"/>
    <s v="Santosh Kumar Shukla"/>
    <x v="1"/>
    <x v="3"/>
    <x v="130"/>
    <x v="5"/>
    <n v="7500"/>
    <n v="7500"/>
    <n v="0"/>
    <x v="1"/>
    <x v="11"/>
  </r>
  <r>
    <n v="227"/>
    <n v="18227"/>
    <s v="Palak Jaiswal"/>
    <s v="Mahendra Kumar Awasthi"/>
    <x v="1"/>
    <x v="3"/>
    <x v="130"/>
    <x v="5"/>
    <n v="7500"/>
    <n v="6900"/>
    <n v="600"/>
    <x v="0"/>
    <x v="15"/>
  </r>
  <r>
    <n v="228"/>
    <n v="18228"/>
    <s v="Ankita Gupta"/>
    <s v="Naushad"/>
    <x v="0"/>
    <x v="3"/>
    <x v="131"/>
    <x v="5"/>
    <n v="7500"/>
    <n v="7100"/>
    <n v="400"/>
    <x v="0"/>
    <x v="15"/>
  </r>
  <r>
    <n v="229"/>
    <n v="18229"/>
    <s v="Namita Verma"/>
    <s v="Kamlesh Kumar"/>
    <x v="0"/>
    <x v="3"/>
    <x v="131"/>
    <x v="5"/>
    <n v="7500"/>
    <n v="7100"/>
    <n v="400"/>
    <x v="0"/>
    <x v="11"/>
  </r>
  <r>
    <n v="230"/>
    <n v="18230"/>
    <s v="Sandhya Verma"/>
    <s v="Anil Kumar"/>
    <x v="0"/>
    <x v="3"/>
    <x v="131"/>
    <x v="5"/>
    <n v="7500"/>
    <n v="7500"/>
    <n v="0"/>
    <x v="1"/>
    <x v="1"/>
  </r>
  <r>
    <n v="231"/>
    <n v="18231"/>
    <s v="Prashant"/>
    <s v="Rakesh Rastogi"/>
    <x v="1"/>
    <x v="3"/>
    <x v="132"/>
    <x v="5"/>
    <n v="7500"/>
    <n v="7500"/>
    <n v="0"/>
    <x v="1"/>
    <x v="16"/>
  </r>
  <r>
    <n v="232"/>
    <n v="18232"/>
    <s v="Sandeep Kumar"/>
    <s v="Satish Chandra Saxena"/>
    <x v="1"/>
    <x v="3"/>
    <x v="132"/>
    <x v="5"/>
    <n v="7500"/>
    <n v="6900"/>
    <n v="600"/>
    <x v="0"/>
    <x v="4"/>
  </r>
  <r>
    <n v="233"/>
    <n v="18233"/>
    <s v="Savita Devi Awasthi"/>
    <s v="Kalamuddeen"/>
    <x v="0"/>
    <x v="3"/>
    <x v="132"/>
    <x v="5"/>
    <n v="7500"/>
    <n v="6900"/>
    <n v="600"/>
    <x v="0"/>
    <x v="5"/>
  </r>
  <r>
    <n v="234"/>
    <n v="18234"/>
    <s v="Mohd Ayaz Ansari"/>
    <s v="Santosh Kumar Gutpa"/>
    <x v="1"/>
    <x v="3"/>
    <x v="133"/>
    <x v="5"/>
    <n v="7500"/>
    <n v="7500"/>
    <n v="0"/>
    <x v="1"/>
    <x v="5"/>
  </r>
  <r>
    <n v="235"/>
    <n v="18235"/>
    <s v="Rahul Kumar"/>
    <s v="Ram Lotan Kashyap"/>
    <x v="0"/>
    <x v="3"/>
    <x v="133"/>
    <x v="5"/>
    <n v="7500"/>
    <n v="6900"/>
    <n v="600"/>
    <x v="0"/>
    <x v="12"/>
  </r>
  <r>
    <n v="236"/>
    <n v="18236"/>
    <s v="Suman"/>
    <s v="Mahfooz Khan"/>
    <x v="0"/>
    <x v="3"/>
    <x v="133"/>
    <x v="5"/>
    <n v="7500"/>
    <n v="7500"/>
    <n v="0"/>
    <x v="1"/>
    <x v="14"/>
  </r>
  <r>
    <n v="237"/>
    <n v="18237"/>
    <s v="Guru Sharan"/>
    <s v="Varish Ali"/>
    <x v="0"/>
    <x v="3"/>
    <x v="134"/>
    <x v="5"/>
    <n v="7500"/>
    <n v="7500"/>
    <n v="0"/>
    <x v="1"/>
    <x v="2"/>
  </r>
  <r>
    <n v="238"/>
    <n v="18238"/>
    <s v="Sakshi Gupta"/>
    <s v="Mubarak Ali"/>
    <x v="0"/>
    <x v="3"/>
    <x v="134"/>
    <x v="5"/>
    <n v="7500"/>
    <n v="7500"/>
    <n v="0"/>
    <x v="1"/>
    <x v="16"/>
  </r>
  <r>
    <n v="239"/>
    <n v="18239"/>
    <s v="Virat Gupta"/>
    <s v="Sanjay Tiwari"/>
    <x v="0"/>
    <x v="3"/>
    <x v="134"/>
    <x v="5"/>
    <n v="7500"/>
    <n v="6900"/>
    <n v="600"/>
    <x v="0"/>
    <x v="16"/>
  </r>
  <r>
    <n v="240"/>
    <n v="18240"/>
    <s v="Aman Bhaskar"/>
    <s v="Riyazuddin Ansari"/>
    <x v="1"/>
    <x v="3"/>
    <x v="135"/>
    <x v="5"/>
    <n v="7500"/>
    <n v="7100"/>
    <n v="400"/>
    <x v="0"/>
    <x v="7"/>
  </r>
  <r>
    <n v="241"/>
    <n v="18241"/>
    <s v="Ansh Baranwal"/>
    <s v="Ram Laxmi Rana"/>
    <x v="1"/>
    <x v="3"/>
    <x v="135"/>
    <x v="5"/>
    <n v="7500"/>
    <n v="7100"/>
    <n v="400"/>
    <x v="0"/>
    <x v="7"/>
  </r>
  <r>
    <n v="242"/>
    <n v="18242"/>
    <s v="Avanish Kumar"/>
    <s v="Deepu"/>
    <x v="1"/>
    <x v="3"/>
    <x v="135"/>
    <x v="5"/>
    <n v="7500"/>
    <n v="7500"/>
    <n v="0"/>
    <x v="1"/>
    <x v="13"/>
  </r>
  <r>
    <n v="243"/>
    <n v="18243"/>
    <s v="Deepak Shukla"/>
    <s v="Rakesh Kumar"/>
    <x v="0"/>
    <x v="3"/>
    <x v="136"/>
    <x v="5"/>
    <n v="7500"/>
    <n v="6900"/>
    <n v="600"/>
    <x v="0"/>
    <x v="0"/>
  </r>
  <r>
    <n v="244"/>
    <n v="18244"/>
    <s v="Saurabh Shukla"/>
    <s v="Aatm Prakash"/>
    <x v="0"/>
    <x v="3"/>
    <x v="136"/>
    <x v="5"/>
    <n v="7500"/>
    <n v="2000"/>
    <n v="5500"/>
    <x v="0"/>
    <x v="1"/>
  </r>
  <r>
    <n v="245"/>
    <n v="18245"/>
    <s v="Sonam"/>
    <s v="Kanhaiya Lal Bajpai"/>
    <x v="0"/>
    <x v="3"/>
    <x v="136"/>
    <x v="5"/>
    <n v="7500"/>
    <n v="7500"/>
    <n v="0"/>
    <x v="1"/>
    <x v="2"/>
  </r>
  <r>
    <n v="246"/>
    <n v="18246"/>
    <s v="Ashwani Kumar Mourya"/>
    <s v="Gyenendra Kumar"/>
    <x v="0"/>
    <x v="3"/>
    <x v="137"/>
    <x v="5"/>
    <n v="7500"/>
    <n v="7500"/>
    <n v="0"/>
    <x v="1"/>
    <x v="3"/>
  </r>
  <r>
    <n v="247"/>
    <n v="18247"/>
    <s v="Priyanka"/>
    <s v="Neeraj Kumar Gupta"/>
    <x v="1"/>
    <x v="3"/>
    <x v="137"/>
    <x v="5"/>
    <n v="7500"/>
    <n v="6900"/>
    <n v="600"/>
    <x v="0"/>
    <x v="4"/>
  </r>
  <r>
    <n v="248"/>
    <n v="18248"/>
    <s v="Saumya Shukla"/>
    <s v="Debendra Nath Swain"/>
    <x v="0"/>
    <x v="3"/>
    <x v="137"/>
    <x v="5"/>
    <n v="7500"/>
    <n v="7500"/>
    <n v="0"/>
    <x v="1"/>
    <x v="5"/>
  </r>
  <r>
    <n v="249"/>
    <n v="18249"/>
    <s v="Chand Babu"/>
    <s v="Raj Kumar"/>
    <x v="1"/>
    <x v="3"/>
    <x v="138"/>
    <x v="5"/>
    <n v="7500"/>
    <n v="7500"/>
    <n v="0"/>
    <x v="1"/>
    <x v="6"/>
  </r>
  <r>
    <n v="250"/>
    <n v="18250"/>
    <s v="Kajoli Devi"/>
    <s v="Gyanendra Kumar Shukla"/>
    <x v="1"/>
    <x v="3"/>
    <x v="138"/>
    <x v="5"/>
    <n v="7500"/>
    <n v="6900"/>
    <n v="600"/>
    <x v="0"/>
    <x v="7"/>
  </r>
  <r>
    <n v="251"/>
    <n v="18251"/>
    <s v="Manshi Devi"/>
    <s v="Sandeep Singh"/>
    <x v="0"/>
    <x v="3"/>
    <x v="138"/>
    <x v="5"/>
    <n v="7500"/>
    <n v="7500"/>
    <n v="0"/>
    <x v="1"/>
    <x v="8"/>
  </r>
  <r>
    <n v="252"/>
    <n v="18252"/>
    <s v="Aftab Ahmad"/>
    <s v="Manoj Kumar Awasthi"/>
    <x v="0"/>
    <x v="3"/>
    <x v="139"/>
    <x v="5"/>
    <n v="7500"/>
    <n v="7100"/>
    <n v="400"/>
    <x v="0"/>
    <x v="9"/>
  </r>
  <r>
    <n v="253"/>
    <n v="18253"/>
    <s v="Vipin Singh Bhargav"/>
    <s v="Tauleram"/>
    <x v="0"/>
    <x v="3"/>
    <x v="139"/>
    <x v="5"/>
    <n v="7500"/>
    <n v="7500"/>
    <n v="0"/>
    <x v="1"/>
    <x v="4"/>
  </r>
  <r>
    <n v="254"/>
    <n v="18254"/>
    <s v="Vishwa Pratap Singh"/>
    <s v="Chunnu"/>
    <x v="0"/>
    <x v="3"/>
    <x v="139"/>
    <x v="5"/>
    <n v="7500"/>
    <n v="7100"/>
    <n v="400"/>
    <x v="0"/>
    <x v="5"/>
  </r>
  <r>
    <n v="255"/>
    <n v="18255"/>
    <s v="Manoj Kumar"/>
    <s v="Satish Kumar"/>
    <x v="1"/>
    <x v="3"/>
    <x v="140"/>
    <x v="5"/>
    <n v="7500"/>
    <n v="7500"/>
    <n v="0"/>
    <x v="1"/>
    <x v="0"/>
  </r>
  <r>
    <n v="256"/>
    <n v="18256"/>
    <s v="Nateesh"/>
    <s v="Sarvesh Kumar"/>
    <x v="1"/>
    <x v="3"/>
    <x v="140"/>
    <x v="5"/>
    <n v="7500"/>
    <n v="6900"/>
    <n v="600"/>
    <x v="0"/>
    <x v="10"/>
  </r>
  <r>
    <n v="257"/>
    <n v="18257"/>
    <s v="Saurabh Kumar"/>
    <s v="Vijay Kumar Sharma"/>
    <x v="0"/>
    <x v="3"/>
    <x v="140"/>
    <x v="5"/>
    <n v="7500"/>
    <n v="6900"/>
    <n v="600"/>
    <x v="0"/>
    <x v="11"/>
  </r>
  <r>
    <n v="258"/>
    <n v="18258"/>
    <s v="Divyanshi"/>
    <s v="Sarvesh Kumar"/>
    <x v="0"/>
    <x v="3"/>
    <x v="141"/>
    <x v="5"/>
    <n v="7500"/>
    <n v="7500"/>
    <n v="0"/>
    <x v="1"/>
    <x v="15"/>
  </r>
  <r>
    <n v="259"/>
    <n v="18259"/>
    <s v="Kiran"/>
    <s v="Vinod Kuamr"/>
    <x v="0"/>
    <x v="3"/>
    <x v="141"/>
    <x v="5"/>
    <n v="7500"/>
    <n v="6900"/>
    <n v="600"/>
    <x v="0"/>
    <x v="11"/>
  </r>
  <r>
    <n v="260"/>
    <n v="18260"/>
    <s v="Shiva Trivedi"/>
    <s v="Pappu Gupta"/>
    <x v="1"/>
    <x v="3"/>
    <x v="141"/>
    <x v="5"/>
    <n v="7500"/>
    <n v="7500"/>
    <n v="0"/>
    <x v="1"/>
    <x v="15"/>
  </r>
  <r>
    <n v="261"/>
    <n v="18261"/>
    <s v="Anita"/>
    <s v="Vivek Kumar Verma"/>
    <x v="0"/>
    <x v="3"/>
    <x v="142"/>
    <x v="6"/>
    <n v="7500"/>
    <n v="7500"/>
    <n v="0"/>
    <x v="1"/>
    <x v="15"/>
  </r>
  <r>
    <n v="262"/>
    <n v="18262"/>
    <s v="Kajal"/>
    <s v="Mohd Irfan"/>
    <x v="0"/>
    <x v="3"/>
    <x v="142"/>
    <x v="6"/>
    <n v="7500"/>
    <n v="6900"/>
    <n v="600"/>
    <x v="0"/>
    <x v="11"/>
  </r>
  <r>
    <n v="263"/>
    <n v="18263"/>
    <s v="Rishab Srivastav"/>
    <s v="Mahfooz Khan"/>
    <x v="0"/>
    <x v="3"/>
    <x v="142"/>
    <x v="6"/>
    <n v="7500"/>
    <n v="7500"/>
    <n v="0"/>
    <x v="1"/>
    <x v="1"/>
  </r>
  <r>
    <n v="264"/>
    <n v="18264"/>
    <s v="Harshit Kumar"/>
    <s v="Jay Shankar Prasad"/>
    <x v="1"/>
    <x v="3"/>
    <x v="143"/>
    <x v="6"/>
    <n v="7500"/>
    <n v="7100"/>
    <n v="400"/>
    <x v="0"/>
    <x v="16"/>
  </r>
  <r>
    <n v="265"/>
    <n v="18265"/>
    <s v="Kuldeep Kumar Verma"/>
    <s v="Ram Kishore"/>
    <x v="1"/>
    <x v="3"/>
    <x v="143"/>
    <x v="6"/>
    <n v="7500"/>
    <n v="7500"/>
    <n v="0"/>
    <x v="1"/>
    <x v="4"/>
  </r>
  <r>
    <n v="266"/>
    <n v="18266"/>
    <s v="Shubham Kumar Verma"/>
    <s v="Munna Lal Rathore"/>
    <x v="1"/>
    <x v="3"/>
    <x v="143"/>
    <x v="6"/>
    <n v="7500"/>
    <n v="7100"/>
    <n v="400"/>
    <x v="0"/>
    <x v="5"/>
  </r>
  <r>
    <n v="267"/>
    <n v="18267"/>
    <s v="Jitendra Yadav"/>
    <s v="Uma Shankar Gautam"/>
    <x v="0"/>
    <x v="3"/>
    <x v="144"/>
    <x v="6"/>
    <n v="7500"/>
    <n v="7500"/>
    <n v="0"/>
    <x v="1"/>
    <x v="5"/>
  </r>
  <r>
    <n v="268"/>
    <n v="18268"/>
    <s v="Navneet Kumar"/>
    <s v="Dinesh Kumar"/>
    <x v="0"/>
    <x v="3"/>
    <x v="144"/>
    <x v="6"/>
    <n v="7500"/>
    <n v="6900"/>
    <n v="600"/>
    <x v="0"/>
    <x v="12"/>
  </r>
  <r>
    <n v="269"/>
    <n v="18269"/>
    <s v="Shivkesh Vishwkarma"/>
    <s v="Sobaran Lal"/>
    <x v="0"/>
    <x v="3"/>
    <x v="144"/>
    <x v="6"/>
    <n v="7500"/>
    <n v="2000"/>
    <n v="5500"/>
    <x v="0"/>
    <x v="14"/>
  </r>
  <r>
    <n v="270"/>
    <n v="18270"/>
    <s v="Akshat Pandey"/>
    <s v="Azad Ali"/>
    <x v="1"/>
    <x v="3"/>
    <x v="145"/>
    <x v="6"/>
    <n v="7500"/>
    <n v="6900"/>
    <n v="600"/>
    <x v="0"/>
    <x v="2"/>
  </r>
  <r>
    <n v="271"/>
    <n v="18271"/>
    <s v="Harshit Kumar Mishra"/>
    <s v="Suresh Kumar"/>
    <x v="0"/>
    <x v="3"/>
    <x v="145"/>
    <x v="6"/>
    <n v="7500"/>
    <n v="2000"/>
    <n v="5500"/>
    <x v="0"/>
    <x v="16"/>
  </r>
  <r>
    <n v="272"/>
    <n v="18272"/>
    <s v="Vinay Kumar"/>
    <s v="Raheesh Ahmad"/>
    <x v="0"/>
    <x v="3"/>
    <x v="145"/>
    <x v="6"/>
    <n v="7500"/>
    <n v="7500"/>
    <n v="0"/>
    <x v="1"/>
    <x v="16"/>
  </r>
  <r>
    <n v="273"/>
    <n v="18273"/>
    <s v="Ajitesh Verma"/>
    <s v="Ravendra Kumar"/>
    <x v="1"/>
    <x v="3"/>
    <x v="146"/>
    <x v="6"/>
    <n v="7500"/>
    <n v="7500"/>
    <n v="0"/>
    <x v="1"/>
    <x v="7"/>
  </r>
  <r>
    <n v="274"/>
    <n v="18274"/>
    <s v="Aniket Verma"/>
    <s v="Ram Khelawan"/>
    <x v="0"/>
    <x v="3"/>
    <x v="146"/>
    <x v="6"/>
    <n v="7500"/>
    <n v="7500"/>
    <n v="0"/>
    <x v="1"/>
    <x v="7"/>
  </r>
  <r>
    <n v="275"/>
    <n v="18275"/>
    <s v="Rahul Kumar"/>
    <s v="Putan"/>
    <x v="1"/>
    <x v="3"/>
    <x v="146"/>
    <x v="6"/>
    <n v="7500"/>
    <n v="6900"/>
    <n v="600"/>
    <x v="0"/>
    <x v="13"/>
  </r>
  <r>
    <n v="276"/>
    <n v="18276"/>
    <s v="Awanish Kumar"/>
    <s v="Triloki Prasad"/>
    <x v="0"/>
    <x v="3"/>
    <x v="147"/>
    <x v="6"/>
    <n v="7500"/>
    <n v="7100"/>
    <n v="400"/>
    <x v="0"/>
    <x v="3"/>
  </r>
  <r>
    <n v="277"/>
    <n v="18277"/>
    <s v="Rajat Gupta"/>
    <s v="Ram Prasad"/>
    <x v="0"/>
    <x v="3"/>
    <x v="147"/>
    <x v="6"/>
    <n v="7500"/>
    <n v="7100"/>
    <n v="400"/>
    <x v="0"/>
    <x v="10"/>
  </r>
  <r>
    <n v="278"/>
    <n v="18278"/>
    <s v="Sandeep Kumar"/>
    <s v="Naveen Kumar"/>
    <x v="0"/>
    <x v="3"/>
    <x v="147"/>
    <x v="6"/>
    <n v="7500"/>
    <n v="7500"/>
    <n v="0"/>
    <x v="1"/>
    <x v="12"/>
  </r>
  <r>
    <n v="279"/>
    <n v="18279"/>
    <s v="Anoop Kumar"/>
    <s v="Lal Bahadur"/>
    <x v="0"/>
    <x v="3"/>
    <x v="148"/>
    <x v="6"/>
    <n v="7500"/>
    <n v="6900"/>
    <n v="600"/>
    <x v="0"/>
    <x v="13"/>
  </r>
  <r>
    <n v="280"/>
    <n v="18280"/>
    <s v="Aviral Mishra"/>
    <s v="Anil Patel"/>
    <x v="1"/>
    <x v="3"/>
    <x v="148"/>
    <x v="6"/>
    <n v="7500"/>
    <n v="7500"/>
    <n v="0"/>
    <x v="1"/>
    <x v="6"/>
  </r>
  <r>
    <n v="281"/>
    <n v="18281"/>
    <s v="Nitya Verma"/>
    <s v="Vinod Saxena"/>
    <x v="1"/>
    <x v="3"/>
    <x v="148"/>
    <x v="6"/>
    <n v="7500"/>
    <n v="6900"/>
    <n v="600"/>
    <x v="0"/>
    <x v="0"/>
  </r>
  <r>
    <n v="282"/>
    <n v="18282"/>
    <s v="Abhishek Gupta"/>
    <s v="Rahmat Ali"/>
    <x v="1"/>
    <x v="3"/>
    <x v="149"/>
    <x v="6"/>
    <n v="7500"/>
    <n v="7500"/>
    <n v="0"/>
    <x v="1"/>
    <x v="1"/>
  </r>
  <r>
    <n v="283"/>
    <n v="18283"/>
    <s v="Arisha Hasan"/>
    <s v="Sushil Kumar Gupta"/>
    <x v="0"/>
    <x v="3"/>
    <x v="149"/>
    <x v="6"/>
    <n v="7500"/>
    <n v="6900"/>
    <n v="600"/>
    <x v="0"/>
    <x v="9"/>
  </r>
  <r>
    <n v="284"/>
    <n v="18284"/>
    <s v="Vikas Kumar"/>
    <s v="Ajay"/>
    <x v="0"/>
    <x v="3"/>
    <x v="149"/>
    <x v="6"/>
    <n v="7500"/>
    <n v="7500"/>
    <n v="0"/>
    <x v="1"/>
    <x v="14"/>
  </r>
  <r>
    <n v="285"/>
    <n v="18285"/>
    <s v="Amit Kumar"/>
    <s v="Zaib Singh"/>
    <x v="0"/>
    <x v="3"/>
    <x v="150"/>
    <x v="6"/>
    <n v="7500"/>
    <n v="7500"/>
    <n v="0"/>
    <x v="1"/>
    <x v="2"/>
  </r>
  <r>
    <n v="286"/>
    <n v="18286"/>
    <s v="Shivshant Kumar"/>
    <s v="Radhey Shyam"/>
    <x v="0"/>
    <x v="3"/>
    <x v="150"/>
    <x v="6"/>
    <n v="7500"/>
    <n v="6900"/>
    <n v="600"/>
    <x v="0"/>
    <x v="3"/>
  </r>
  <r>
    <n v="287"/>
    <n v="18287"/>
    <s v="Yogesh Kumar"/>
    <s v="Anirudh"/>
    <x v="0"/>
    <x v="3"/>
    <x v="150"/>
    <x v="6"/>
    <n v="7500"/>
    <n v="7500"/>
    <n v="0"/>
    <x v="1"/>
    <x v="10"/>
  </r>
  <r>
    <n v="288"/>
    <n v="18288"/>
    <s v="Anurag Ratn"/>
    <s v="Baijnath"/>
    <x v="1"/>
    <x v="3"/>
    <x v="151"/>
    <x v="6"/>
    <n v="7500"/>
    <n v="7500"/>
    <n v="0"/>
    <x v="1"/>
    <x v="12"/>
  </r>
  <r>
    <n v="289"/>
    <n v="18289"/>
    <s v="Krishna Raj Bhargava"/>
    <s v="Susheel Kumar Gupta"/>
    <x v="1"/>
    <x v="3"/>
    <x v="151"/>
    <x v="6"/>
    <n v="7500"/>
    <n v="7100"/>
    <n v="400"/>
    <x v="0"/>
    <x v="13"/>
  </r>
  <r>
    <n v="290"/>
    <n v="18290"/>
    <s v="Nishant Singh"/>
    <s v="Shivpujan Verma"/>
    <x v="1"/>
    <x v="3"/>
    <x v="151"/>
    <x v="6"/>
    <n v="7500"/>
    <n v="7100"/>
    <n v="400"/>
    <x v="0"/>
    <x v="6"/>
  </r>
  <r>
    <n v="291"/>
    <n v="18291"/>
    <s v="Ishant Patel"/>
    <s v="Achchhe Lal"/>
    <x v="0"/>
    <x v="3"/>
    <x v="152"/>
    <x v="6"/>
    <n v="7500"/>
    <n v="6900"/>
    <n v="600"/>
    <x v="0"/>
    <x v="0"/>
  </r>
  <r>
    <n v="292"/>
    <n v="18292"/>
    <s v="Ishu Mishra"/>
    <s v="Akhilesh Kumar"/>
    <x v="0"/>
    <x v="3"/>
    <x v="152"/>
    <x v="6"/>
    <n v="7500"/>
    <n v="7500"/>
    <n v="0"/>
    <x v="1"/>
    <x v="1"/>
  </r>
  <r>
    <n v="293"/>
    <n v="18293"/>
    <s v="Suraj Shukla"/>
    <s v="Prahlad Singh"/>
    <x v="0"/>
    <x v="3"/>
    <x v="152"/>
    <x v="6"/>
    <n v="7500"/>
    <n v="6900"/>
    <n v="600"/>
    <x v="0"/>
    <x v="9"/>
  </r>
  <r>
    <n v="294"/>
    <n v="18294"/>
    <s v="Mantasha"/>
    <s v="Maheen Babu Shukla"/>
    <x v="1"/>
    <x v="3"/>
    <x v="153"/>
    <x v="6"/>
    <n v="7500"/>
    <n v="6900"/>
    <n v="600"/>
    <x v="0"/>
    <x v="14"/>
  </r>
  <r>
    <n v="295"/>
    <n v="18295"/>
    <s v="Naincy Rajpoot"/>
    <s v="Kallu Ram"/>
    <x v="0"/>
    <x v="3"/>
    <x v="153"/>
    <x v="6"/>
    <n v="7500"/>
    <n v="7500"/>
    <n v="0"/>
    <x v="1"/>
    <x v="2"/>
  </r>
  <r>
    <n v="296"/>
    <n v="18296"/>
    <s v="Parul Rajput"/>
    <s v="Roop Narayan"/>
    <x v="0"/>
    <x v="3"/>
    <x v="153"/>
    <x v="6"/>
    <n v="7500"/>
    <n v="7500"/>
    <n v="0"/>
    <x v="1"/>
    <x v="3"/>
  </r>
  <r>
    <n v="297"/>
    <n v="18297"/>
    <s v="Mamata"/>
    <s v="Somprakash"/>
    <x v="1"/>
    <x v="3"/>
    <x v="154"/>
    <x v="6"/>
    <n v="7500"/>
    <n v="7500"/>
    <n v="0"/>
    <x v="1"/>
    <x v="10"/>
  </r>
  <r>
    <n v="298"/>
    <n v="18298"/>
    <s v="Pushpak Chandra"/>
    <s v="Ramesh"/>
    <x v="1"/>
    <x v="3"/>
    <x v="154"/>
    <x v="6"/>
    <n v="7500"/>
    <n v="6900"/>
    <n v="600"/>
    <x v="0"/>
    <x v="12"/>
  </r>
  <r>
    <n v="299"/>
    <n v="18299"/>
    <s v="Savita"/>
    <s v="Maheshwar Dubey"/>
    <x v="0"/>
    <x v="3"/>
    <x v="154"/>
    <x v="6"/>
    <n v="7500"/>
    <n v="7500"/>
    <n v="0"/>
    <x v="1"/>
    <x v="13"/>
  </r>
  <r>
    <n v="300"/>
    <n v="18300"/>
    <s v="Divya Gautam"/>
    <s v="Kamlesh Gupta"/>
    <x v="0"/>
    <x v="3"/>
    <x v="155"/>
    <x v="6"/>
    <n v="7500"/>
    <n v="7500"/>
    <n v="0"/>
    <x v="1"/>
    <x v="6"/>
  </r>
  <r>
    <n v="301"/>
    <n v="18301"/>
    <s v="Parul Maurya"/>
    <s v="Kamlesh Kumar"/>
    <x v="0"/>
    <x v="3"/>
    <x v="155"/>
    <x v="6"/>
    <n v="7500"/>
    <n v="7100"/>
    <n v="400"/>
    <x v="0"/>
    <x v="12"/>
  </r>
  <r>
    <n v="302"/>
    <n v="18302"/>
    <s v="Sneha Shukla"/>
    <s v="Jagatpal Gope"/>
    <x v="0"/>
    <x v="3"/>
    <x v="155"/>
    <x v="6"/>
    <n v="7500"/>
    <n v="7100"/>
    <n v="400"/>
    <x v="0"/>
    <x v="12"/>
  </r>
  <r>
    <n v="303"/>
    <n v="18303"/>
    <s v="Shivam Gupta"/>
    <s v="Tirath Singh"/>
    <x v="0"/>
    <x v="3"/>
    <x v="156"/>
    <x v="6"/>
    <n v="7500"/>
    <n v="6900"/>
    <n v="600"/>
    <x v="0"/>
    <x v="3"/>
  </r>
  <r>
    <n v="304"/>
    <n v="18304"/>
    <s v="Shivansh Kumar"/>
    <s v="Jaspal Singh"/>
    <x v="1"/>
    <x v="3"/>
    <x v="156"/>
    <x v="6"/>
    <n v="7500"/>
    <n v="6900"/>
    <n v="600"/>
    <x v="0"/>
    <x v="10"/>
  </r>
  <r>
    <n v="305"/>
    <n v="18305"/>
    <s v="Shreya Tiwari"/>
    <s v="Ashok Kumar"/>
    <x v="1"/>
    <x v="3"/>
    <x v="156"/>
    <x v="6"/>
    <n v="7500"/>
    <n v="7500"/>
    <n v="0"/>
    <x v="1"/>
    <x v="3"/>
  </r>
  <r>
    <n v="306"/>
    <n v="18306"/>
    <s v="Ajaypal Singh"/>
    <s v="Ramesh Kumar"/>
    <x v="0"/>
    <x v="3"/>
    <x v="157"/>
    <x v="6"/>
    <n v="7500"/>
    <n v="7500"/>
    <n v="0"/>
    <x v="1"/>
    <x v="10"/>
  </r>
  <r>
    <n v="307"/>
    <n v="18307"/>
    <s v="Km Nirjala Singh"/>
    <s v="Devendra Singh Yadav"/>
    <x v="1"/>
    <x v="3"/>
    <x v="157"/>
    <x v="6"/>
    <n v="7500"/>
    <n v="7500"/>
    <n v="0"/>
    <x v="1"/>
    <x v="12"/>
  </r>
  <r>
    <n v="308"/>
    <n v="18308"/>
    <s v="Sadhna Rastogi"/>
    <s v="Mo. Shareef"/>
    <x v="0"/>
    <x v="3"/>
    <x v="157"/>
    <x v="6"/>
    <n v="7500"/>
    <n v="6900"/>
    <n v="600"/>
    <x v="0"/>
    <x v="13"/>
  </r>
  <r>
    <n v="309"/>
    <n v="18309"/>
    <s v="Amit Kumar"/>
    <s v="Sanjay Tiwari"/>
    <x v="0"/>
    <x v="3"/>
    <x v="158"/>
    <x v="6"/>
    <n v="7500"/>
    <n v="6900"/>
    <n v="600"/>
    <x v="0"/>
    <x v="6"/>
  </r>
  <r>
    <n v="310"/>
    <n v="18310"/>
    <s v="Manish Kumar Katiyar"/>
    <s v="Ram Prakash Verma"/>
    <x v="0"/>
    <x v="3"/>
    <x v="158"/>
    <x v="6"/>
    <n v="7500"/>
    <n v="7500"/>
    <n v="0"/>
    <x v="1"/>
    <x v="0"/>
  </r>
  <r>
    <n v="311"/>
    <n v="18311"/>
    <s v="Prateek Shukla"/>
    <s v="Mohd Umar"/>
    <x v="0"/>
    <x v="3"/>
    <x v="158"/>
    <x v="6"/>
    <n v="7500"/>
    <n v="7500"/>
    <n v="0"/>
    <x v="1"/>
    <x v="1"/>
  </r>
  <r>
    <n v="312"/>
    <n v="18312"/>
    <s v="Anurag Bhargav"/>
    <s v="Ram Lal Chakrawarti"/>
    <x v="1"/>
    <x v="3"/>
    <x v="159"/>
    <x v="6"/>
    <n v="7500"/>
    <n v="7500"/>
    <n v="0"/>
    <x v="1"/>
    <x v="9"/>
  </r>
  <r>
    <n v="313"/>
    <n v="18313"/>
    <s v="Azhan Khan"/>
    <s v="Krishn Kumar"/>
    <x v="1"/>
    <x v="3"/>
    <x v="159"/>
    <x v="6"/>
    <n v="7500"/>
    <n v="7100"/>
    <n v="400"/>
    <x v="0"/>
    <x v="14"/>
  </r>
  <r>
    <n v="314"/>
    <n v="18314"/>
    <s v="Sudheer Kumar Verma"/>
    <s v="Mahendra Kumar Lahari"/>
    <x v="1"/>
    <x v="3"/>
    <x v="159"/>
    <x v="6"/>
    <n v="7500"/>
    <n v="7100"/>
    <n v="400"/>
    <x v="0"/>
    <x v="2"/>
  </r>
  <r>
    <n v="315"/>
    <n v="18315"/>
    <s v="Harish Kumar"/>
    <s v="Keshav Ram Maurya"/>
    <x v="0"/>
    <x v="3"/>
    <x v="160"/>
    <x v="6"/>
    <n v="7500"/>
    <n v="6900"/>
    <n v="600"/>
    <x v="0"/>
    <x v="3"/>
  </r>
  <r>
    <n v="316"/>
    <n v="18316"/>
    <s v="Ishu Maurya"/>
    <s v="Jagdeesh Prasad"/>
    <x v="0"/>
    <x v="3"/>
    <x v="160"/>
    <x v="6"/>
    <n v="7500"/>
    <n v="7500"/>
    <n v="0"/>
    <x v="1"/>
    <x v="10"/>
  </r>
  <r>
    <n v="317"/>
    <n v="18317"/>
    <s v="Neha Tiwari"/>
    <s v="Rajesh Kumar"/>
    <x v="0"/>
    <x v="3"/>
    <x v="160"/>
    <x v="6"/>
    <n v="7500"/>
    <n v="6900"/>
    <n v="600"/>
    <x v="0"/>
    <x v="12"/>
  </r>
  <r>
    <n v="318"/>
    <n v="18318"/>
    <s v="Lakshmi Devi"/>
    <s v="Uma Shankar Mourya"/>
    <x v="0"/>
    <x v="3"/>
    <x v="161"/>
    <x v="6"/>
    <n v="7500"/>
    <n v="7500"/>
    <n v="0"/>
    <x v="1"/>
    <x v="13"/>
  </r>
  <r>
    <n v="319"/>
    <n v="18319"/>
    <s v="Shabnam"/>
    <s v="Fekan Singh"/>
    <x v="1"/>
    <x v="3"/>
    <x v="161"/>
    <x v="6"/>
    <n v="7500"/>
    <n v="6900"/>
    <n v="600"/>
    <x v="0"/>
    <x v="6"/>
  </r>
  <r>
    <n v="320"/>
    <n v="18320"/>
    <s v="Sunil Kumar"/>
    <s v="Rakesh Kumar"/>
    <x v="0"/>
    <x v="3"/>
    <x v="161"/>
    <x v="6"/>
    <n v="7500"/>
    <n v="7500"/>
    <n v="0"/>
    <x v="1"/>
    <x v="0"/>
  </r>
  <r>
    <n v="321"/>
    <n v="18321"/>
    <s v="Anil Kumar"/>
    <s v="Chunnu"/>
    <x v="1"/>
    <x v="3"/>
    <x v="162"/>
    <x v="6"/>
    <n v="7500"/>
    <n v="6900"/>
    <n v="600"/>
    <x v="0"/>
    <x v="1"/>
  </r>
  <r>
    <n v="322"/>
    <n v="18322"/>
    <s v="Hari Shankar"/>
    <s v="Kaushlendra"/>
    <x v="1"/>
    <x v="3"/>
    <x v="162"/>
    <x v="6"/>
    <n v="7500"/>
    <n v="7500"/>
    <n v="0"/>
    <x v="1"/>
    <x v="9"/>
  </r>
  <r>
    <n v="323"/>
    <n v="18323"/>
    <s v="Shubham Mishra"/>
    <s v="Anand Kumar Mishra"/>
    <x v="0"/>
    <x v="3"/>
    <x v="162"/>
    <x v="6"/>
    <n v="7500"/>
    <n v="5600"/>
    <n v="1900"/>
    <x v="0"/>
    <x v="14"/>
  </r>
  <r>
    <n v="324"/>
    <n v="18324"/>
    <s v="Ashish Verma"/>
    <s v="Rakesh Kumar"/>
    <x v="0"/>
    <x v="3"/>
    <x v="163"/>
    <x v="6"/>
    <n v="7500"/>
    <n v="7100"/>
    <n v="400"/>
    <x v="0"/>
    <x v="2"/>
  </r>
  <r>
    <n v="325"/>
    <n v="18325"/>
    <s v="Pooja Gupta"/>
    <s v="Rajendra Singh Tomar"/>
    <x v="0"/>
    <x v="3"/>
    <x v="163"/>
    <x v="6"/>
    <n v="7500"/>
    <n v="7500"/>
    <n v="0"/>
    <x v="1"/>
    <x v="3"/>
  </r>
  <r>
    <n v="326"/>
    <n v="18326"/>
    <s v="Uday Pratap"/>
    <s v="Chhedi Lal"/>
    <x v="0"/>
    <x v="3"/>
    <x v="163"/>
    <x v="6"/>
    <n v="7500"/>
    <n v="7100"/>
    <n v="400"/>
    <x v="0"/>
    <x v="10"/>
  </r>
  <r>
    <n v="327"/>
    <n v="18327"/>
    <s v="Gaytri Negi"/>
    <s v="Dhirendra Kumar"/>
    <x v="1"/>
    <x v="3"/>
    <x v="164"/>
    <x v="6"/>
    <n v="7500"/>
    <n v="7500"/>
    <n v="0"/>
    <x v="1"/>
    <x v="12"/>
  </r>
  <r>
    <n v="328"/>
    <n v="18328"/>
    <s v="Sarita Devi"/>
    <s v="Ramjan"/>
    <x v="0"/>
    <x v="3"/>
    <x v="164"/>
    <x v="6"/>
    <n v="7500"/>
    <n v="6900"/>
    <n v="600"/>
    <x v="0"/>
    <x v="13"/>
  </r>
  <r>
    <n v="329"/>
    <n v="18329"/>
    <s v="Shubham Vishwkarma"/>
    <s v="Sunil Kumar Sharma"/>
    <x v="1"/>
    <x v="3"/>
    <x v="164"/>
    <x v="6"/>
    <n v="7500"/>
    <n v="6900"/>
    <n v="600"/>
    <x v="0"/>
    <x v="6"/>
  </r>
  <r>
    <n v="330"/>
    <n v="18330"/>
    <s v="Anurag Kumar"/>
    <s v="Satyendra Yadav"/>
    <x v="1"/>
    <x v="3"/>
    <x v="165"/>
    <x v="6"/>
    <n v="7500"/>
    <n v="7500"/>
    <n v="0"/>
    <x v="1"/>
    <x v="12"/>
  </r>
  <r>
    <n v="331"/>
    <n v="18331"/>
    <s v="Arpit Kumar"/>
    <s v="Ram Harish"/>
    <x v="0"/>
    <x v="3"/>
    <x v="165"/>
    <x v="6"/>
    <n v="7500"/>
    <n v="6900"/>
    <n v="600"/>
    <x v="0"/>
    <x v="12"/>
  </r>
  <r>
    <n v="332"/>
    <n v="18332"/>
    <s v="Arpit Raj"/>
    <s v="Rajesh Kumar"/>
    <x v="0"/>
    <x v="3"/>
    <x v="165"/>
    <x v="6"/>
    <n v="7500"/>
    <n v="7500"/>
    <n v="0"/>
    <x v="1"/>
    <x v="3"/>
  </r>
  <r>
    <n v="333"/>
    <n v="18333"/>
    <s v="Braj Kishor"/>
    <s v="Amalesh Mishra"/>
    <x v="0"/>
    <x v="3"/>
    <x v="165"/>
    <x v="6"/>
    <n v="7500"/>
    <n v="7500"/>
    <n v="0"/>
    <x v="1"/>
    <x v="10"/>
  </r>
  <r>
    <n v="334"/>
    <n v="18334"/>
    <s v="Kanhya Mishra"/>
    <s v="Holi"/>
    <x v="0"/>
    <x v="3"/>
    <x v="165"/>
    <x v="6"/>
    <n v="7500"/>
    <n v="6900"/>
    <n v="600"/>
    <x v="0"/>
    <x v="3"/>
  </r>
  <r>
    <n v="335"/>
    <n v="18335"/>
    <s v="Prashant Kumar Dixit"/>
    <s v="Raj Bahadur"/>
    <x v="1"/>
    <x v="3"/>
    <x v="165"/>
    <x v="6"/>
    <n v="7500"/>
    <n v="7500"/>
    <n v="0"/>
    <x v="1"/>
    <x v="10"/>
  </r>
  <r>
    <n v="336"/>
    <n v="18336"/>
    <s v="Sachin Awasthi"/>
    <s v="Surjeet Singh"/>
    <x v="1"/>
    <x v="3"/>
    <x v="165"/>
    <x v="6"/>
    <n v="7500"/>
    <n v="7100"/>
    <n v="400"/>
    <x v="0"/>
    <x v="12"/>
  </r>
  <r>
    <n v="337"/>
    <n v="18337"/>
    <s v="Vipin Kumar"/>
    <s v="Satish Chandra Saxena"/>
    <x v="0"/>
    <x v="3"/>
    <x v="165"/>
    <x v="6"/>
    <n v="7500"/>
    <n v="7500"/>
    <n v="0"/>
    <x v="1"/>
    <x v="13"/>
  </r>
  <r>
    <n v="338"/>
    <n v="18338"/>
    <s v="Vishal Mishra"/>
    <s v="Jawahar Lal Rana"/>
    <x v="1"/>
    <x v="3"/>
    <x v="165"/>
    <x v="6"/>
    <n v="7500"/>
    <n v="7100"/>
    <n v="400"/>
    <x v="0"/>
    <x v="6"/>
  </r>
  <r>
    <n v="339"/>
    <n v="18339"/>
    <s v="Ajmat Ali"/>
    <s v="Mahabeer"/>
    <x v="0"/>
    <x v="3"/>
    <x v="166"/>
    <x v="6"/>
    <n v="7500"/>
    <n v="7500"/>
    <n v="0"/>
    <x v="1"/>
    <x v="0"/>
  </r>
  <r>
    <n v="340"/>
    <n v="18340"/>
    <s v="Akhilesh Kumar"/>
    <s v="Ram Niwas"/>
    <x v="0"/>
    <x v="3"/>
    <x v="166"/>
    <x v="6"/>
    <n v="7500"/>
    <n v="7500"/>
    <n v="0"/>
    <x v="1"/>
    <x v="1"/>
  </r>
  <r>
    <n v="341"/>
    <n v="18341"/>
    <s v="Deshraj Pal"/>
    <s v="Manoj Awasthi"/>
    <x v="1"/>
    <x v="3"/>
    <x v="166"/>
    <x v="6"/>
    <n v="7500"/>
    <n v="7500"/>
    <n v="0"/>
    <x v="1"/>
    <x v="9"/>
  </r>
  <r>
    <n v="342"/>
    <n v="18342"/>
    <s v="Gaurav Singh"/>
    <s v="Sabir Ali"/>
    <x v="0"/>
    <x v="3"/>
    <x v="166"/>
    <x v="6"/>
    <n v="7500"/>
    <n v="6900"/>
    <n v="600"/>
    <x v="0"/>
    <x v="14"/>
  </r>
  <r>
    <n v="343"/>
    <n v="18343"/>
    <s v="Netram"/>
    <s v="Dharmendra Shukla"/>
    <x v="0"/>
    <x v="3"/>
    <x v="166"/>
    <x v="6"/>
    <n v="7500"/>
    <n v="7500"/>
    <n v="0"/>
    <x v="1"/>
    <x v="2"/>
  </r>
  <r>
    <n v="344"/>
    <n v="18344"/>
    <s v="Shobhit Kumar"/>
    <s v="Dalveer Singh"/>
    <x v="1"/>
    <x v="3"/>
    <x v="166"/>
    <x v="6"/>
    <n v="7500"/>
    <n v="7200"/>
    <n v="300"/>
    <x v="0"/>
    <x v="3"/>
  </r>
  <r>
    <n v="345"/>
    <n v="18345"/>
    <s v="Suraj Kumar"/>
    <s v="Rajendra Kumar Saini"/>
    <x v="0"/>
    <x v="3"/>
    <x v="166"/>
    <x v="6"/>
    <n v="7500"/>
    <n v="6900"/>
    <n v="600"/>
    <x v="0"/>
    <x v="10"/>
  </r>
  <r>
    <n v="346"/>
    <n v="18346"/>
    <s v="Upender Yadav"/>
    <s v="Sharda Prasad"/>
    <x v="1"/>
    <x v="3"/>
    <x v="166"/>
    <x v="6"/>
    <n v="7500"/>
    <n v="6900"/>
    <n v="600"/>
    <x v="0"/>
    <x v="12"/>
  </r>
  <r>
    <n v="347"/>
    <n v="18347"/>
    <s v="Ved Prakash"/>
    <s v="Abdul Gani Khan"/>
    <x v="0"/>
    <x v="3"/>
    <x v="166"/>
    <x v="6"/>
    <n v="7500"/>
    <n v="7500"/>
    <n v="0"/>
    <x v="1"/>
    <x v="13"/>
  </r>
  <r>
    <n v="348"/>
    <n v="18348"/>
    <s v="Anushree"/>
    <s v="Kapatan Babu Mishra"/>
    <x v="0"/>
    <x v="3"/>
    <x v="167"/>
    <x v="6"/>
    <n v="7500"/>
    <n v="7100"/>
    <n v="400"/>
    <x v="0"/>
    <x v="6"/>
  </r>
  <r>
    <n v="349"/>
    <n v="18349"/>
    <s v="Lekhank Kumar"/>
    <s v="Salik Ram"/>
    <x v="0"/>
    <x v="3"/>
    <x v="167"/>
    <x v="6"/>
    <n v="7500"/>
    <n v="7500"/>
    <n v="0"/>
    <x v="1"/>
    <x v="0"/>
  </r>
  <r>
    <n v="350"/>
    <n v="18350"/>
    <s v="Moneesh"/>
    <s v="Pankaj Kumar"/>
    <x v="0"/>
    <x v="3"/>
    <x v="167"/>
    <x v="6"/>
    <n v="7500"/>
    <n v="7100"/>
    <n v="400"/>
    <x v="0"/>
    <x v="1"/>
  </r>
  <r>
    <n v="351"/>
    <n v="18351"/>
    <s v="Nawab Ali"/>
    <s v="Yoonish Ali"/>
    <x v="1"/>
    <x v="3"/>
    <x v="167"/>
    <x v="6"/>
    <n v="7500"/>
    <n v="7500"/>
    <n v="0"/>
    <x v="1"/>
    <x v="9"/>
  </r>
  <r>
    <n v="352"/>
    <n v="18352"/>
    <s v="Rajesh Raj"/>
    <s v="Ramesh Kumar"/>
    <x v="1"/>
    <x v="3"/>
    <x v="167"/>
    <x v="6"/>
    <n v="7500"/>
    <n v="7500"/>
    <n v="0"/>
    <x v="1"/>
    <x v="14"/>
  </r>
  <r>
    <n v="353"/>
    <n v="18353"/>
    <s v="Shubham"/>
    <s v="Bimal Mandal"/>
    <x v="1"/>
    <x v="3"/>
    <x v="167"/>
    <x v="6"/>
    <n v="7500"/>
    <n v="6900"/>
    <n v="600"/>
    <x v="0"/>
    <x v="2"/>
  </r>
  <r>
    <n v="354"/>
    <n v="18354"/>
    <s v="Shubhranshu Kumar"/>
    <s v="Bisheshwar Ahir"/>
    <x v="0"/>
    <x v="3"/>
    <x v="167"/>
    <x v="6"/>
    <n v="7500"/>
    <n v="6900"/>
    <n v="600"/>
    <x v="0"/>
    <x v="3"/>
  </r>
  <r>
    <n v="355"/>
    <n v="18355"/>
    <s v="Somendra Kumar"/>
    <s v="Prmod Kumar"/>
    <x v="0"/>
    <x v="3"/>
    <x v="167"/>
    <x v="6"/>
    <n v="7500"/>
    <n v="7500"/>
    <n v="0"/>
    <x v="1"/>
    <x v="10"/>
  </r>
  <r>
    <n v="356"/>
    <n v="18356"/>
    <s v="Virendra Kumar"/>
    <s v="Ganesh Sahani"/>
    <x v="0"/>
    <x v="3"/>
    <x v="167"/>
    <x v="6"/>
    <n v="7500"/>
    <n v="6900"/>
    <n v="600"/>
    <x v="0"/>
    <x v="12"/>
  </r>
  <r>
    <n v="357"/>
    <n v="18357"/>
    <s v="Akhilesh Yadav"/>
    <s v="Moh Arif"/>
    <x v="0"/>
    <x v="3"/>
    <x v="168"/>
    <x v="6"/>
    <n v="7500"/>
    <n v="7500"/>
    <n v="0"/>
    <x v="1"/>
    <x v="13"/>
  </r>
  <r>
    <n v="358"/>
    <n v="18358"/>
    <s v="Ansh Srivastava"/>
    <s v="Ram Kumar Srivastava"/>
    <x v="1"/>
    <x v="3"/>
    <x v="168"/>
    <x v="6"/>
    <n v="7500"/>
    <n v="7100"/>
    <n v="400"/>
    <x v="0"/>
    <x v="6"/>
  </r>
  <r>
    <n v="359"/>
    <n v="18359"/>
    <s v="Ashutosh Kumar"/>
    <s v="Pankaj Shukla"/>
    <x v="1"/>
    <x v="3"/>
    <x v="168"/>
    <x v="6"/>
    <n v="7500"/>
    <n v="7100"/>
    <n v="400"/>
    <x v="0"/>
    <x v="12"/>
  </r>
  <r>
    <n v="360"/>
    <n v="18360"/>
    <s v="Kaif Ansari"/>
    <s v="Jaypal Maurya"/>
    <x v="1"/>
    <x v="3"/>
    <x v="168"/>
    <x v="6"/>
    <n v="7500"/>
    <n v="7500"/>
    <n v="0"/>
    <x v="1"/>
    <x v="12"/>
  </r>
  <r>
    <n v="361"/>
    <n v="18361"/>
    <s v="Lalita Devi"/>
    <s v="Ramvilas"/>
    <x v="0"/>
    <x v="3"/>
    <x v="168"/>
    <x v="6"/>
    <n v="7500"/>
    <n v="6900"/>
    <n v="600"/>
    <x v="0"/>
    <x v="3"/>
  </r>
  <r>
    <n v="362"/>
    <n v="18362"/>
    <s v="Mohd Arman"/>
    <s v="Basant"/>
    <x v="0"/>
    <x v="3"/>
    <x v="168"/>
    <x v="6"/>
    <n v="7500"/>
    <n v="6900"/>
    <n v="600"/>
    <x v="0"/>
    <x v="10"/>
  </r>
  <r>
    <n v="363"/>
    <n v="18363"/>
    <s v="Nikhil Verma"/>
    <s v="Ram Kishor"/>
    <x v="0"/>
    <x v="3"/>
    <x v="168"/>
    <x v="6"/>
    <n v="7500"/>
    <n v="7500"/>
    <n v="0"/>
    <x v="1"/>
    <x v="10"/>
  </r>
  <r>
    <n v="364"/>
    <n v="18364"/>
    <s v="Sameer Ahmad"/>
    <s v="Shatrohan Lal"/>
    <x v="0"/>
    <x v="3"/>
    <x v="168"/>
    <x v="6"/>
    <n v="7500"/>
    <n v="7500"/>
    <n v="0"/>
    <x v="1"/>
    <x v="14"/>
  </r>
  <r>
    <n v="365"/>
    <n v="18365"/>
    <s v="Saniya Bano"/>
    <s v="Nadeem Akhtar Khan"/>
    <x v="0"/>
    <x v="3"/>
    <x v="168"/>
    <x v="6"/>
    <n v="7500"/>
    <n v="6900"/>
    <n v="600"/>
    <x v="0"/>
    <x v="2"/>
  </r>
  <r>
    <n v="366"/>
    <n v="18366"/>
    <s v="Archana Gupta"/>
    <s v="Lavkush Rastogi"/>
    <x v="0"/>
    <x v="3"/>
    <x v="169"/>
    <x v="7"/>
    <n v="7500"/>
    <n v="7500"/>
    <n v="0"/>
    <x v="1"/>
    <x v="3"/>
  </r>
  <r>
    <n v="367"/>
    <n v="18367"/>
    <s v="Arvind Kumar"/>
    <s v="Sunil Kumar Verma"/>
    <x v="1"/>
    <x v="3"/>
    <x v="169"/>
    <x v="7"/>
    <n v="7500"/>
    <n v="6900"/>
    <n v="600"/>
    <x v="0"/>
    <x v="10"/>
  </r>
  <r>
    <n v="368"/>
    <n v="18368"/>
    <s v="Dileep Kumar"/>
    <s v="Vikas Agarwal"/>
    <x v="1"/>
    <x v="3"/>
    <x v="169"/>
    <x v="7"/>
    <n v="7500"/>
    <n v="7500"/>
    <n v="0"/>
    <x v="1"/>
    <x v="12"/>
  </r>
  <r>
    <n v="369"/>
    <n v="18369"/>
    <s v="Gagan Singh"/>
    <s v="Brijendra Shankar Awasthi"/>
    <x v="0"/>
    <x v="3"/>
    <x v="169"/>
    <x v="7"/>
    <n v="7500"/>
    <n v="7500"/>
    <n v="0"/>
    <x v="1"/>
    <x v="13"/>
  </r>
  <r>
    <n v="370"/>
    <n v="18370"/>
    <s v="Komal Singh"/>
    <s v="Amarjeet"/>
    <x v="1"/>
    <x v="3"/>
    <x v="169"/>
    <x v="7"/>
    <n v="7500"/>
    <n v="6900"/>
    <n v="600"/>
    <x v="0"/>
    <x v="6"/>
  </r>
  <r>
    <n v="371"/>
    <n v="18371"/>
    <s v="Pooja Kashyap"/>
    <s v="Ramesh Kumar"/>
    <x v="0"/>
    <x v="3"/>
    <x v="169"/>
    <x v="7"/>
    <n v="7500"/>
    <n v="7500"/>
    <n v="0"/>
    <x v="1"/>
    <x v="12"/>
  </r>
  <r>
    <n v="372"/>
    <n v="18372"/>
    <s v="Raj Kumar"/>
    <s v="Ramesh Chandra"/>
    <x v="0"/>
    <x v="3"/>
    <x v="169"/>
    <x v="7"/>
    <n v="7500"/>
    <n v="450"/>
    <n v="7050"/>
    <x v="0"/>
    <x v="12"/>
  </r>
  <r>
    <n v="373"/>
    <n v="18373"/>
    <s v="Krishna Shukla"/>
    <s v="Ram Murti Gupta"/>
    <x v="0"/>
    <x v="3"/>
    <x v="170"/>
    <x v="7"/>
    <n v="7500"/>
    <n v="7100"/>
    <n v="400"/>
    <x v="0"/>
    <x v="3"/>
  </r>
  <r>
    <n v="374"/>
    <n v="18374"/>
    <s v="Mani Prakash Dixit"/>
    <s v="Pramod Kumar"/>
    <x v="0"/>
    <x v="3"/>
    <x v="170"/>
    <x v="7"/>
    <n v="7500"/>
    <n v="7100"/>
    <n v="400"/>
    <x v="0"/>
    <x v="10"/>
  </r>
  <r>
    <n v="375"/>
    <n v="18375"/>
    <s v="Vinay Kumar"/>
    <s v="Saty Narayan"/>
    <x v="0"/>
    <x v="3"/>
    <x v="170"/>
    <x v="7"/>
    <n v="7500"/>
    <n v="6900"/>
    <n v="600"/>
    <x v="0"/>
    <x v="3"/>
  </r>
  <r>
    <n v="376"/>
    <n v="18376"/>
    <s v="Nishant Shukla"/>
    <s v="Surendra Kumar Verma"/>
    <x v="1"/>
    <x v="3"/>
    <x v="171"/>
    <x v="7"/>
    <n v="7500"/>
    <n v="7500"/>
    <n v="0"/>
    <x v="1"/>
    <x v="10"/>
  </r>
  <r>
    <n v="377"/>
    <n v="18377"/>
    <s v="Shalu Verma"/>
    <s v="Nagendra Pal"/>
    <x v="1"/>
    <x v="3"/>
    <x v="171"/>
    <x v="7"/>
    <n v="7500"/>
    <n v="6900"/>
    <n v="600"/>
    <x v="0"/>
    <x v="12"/>
  </r>
  <r>
    <n v="378"/>
    <n v="18378"/>
    <s v="Shitesh Bajpai"/>
    <s v="Arvind Giri"/>
    <x v="1"/>
    <x v="3"/>
    <x v="171"/>
    <x v="7"/>
    <n v="7500"/>
    <n v="7500"/>
    <n v="0"/>
    <x v="1"/>
    <x v="13"/>
  </r>
  <r>
    <n v="379"/>
    <n v="18379"/>
    <s v="Aman Mishra"/>
    <s v="Mubarak Ali"/>
    <x v="0"/>
    <x v="3"/>
    <x v="172"/>
    <x v="7"/>
    <n v="7500"/>
    <n v="6900"/>
    <n v="600"/>
    <x v="0"/>
    <x v="6"/>
  </r>
  <r>
    <n v="380"/>
    <n v="18380"/>
    <s v="Mansi Rastogi"/>
    <s v="Sanjay Raj Bhargava"/>
    <x v="0"/>
    <x v="3"/>
    <x v="172"/>
    <x v="7"/>
    <n v="7500"/>
    <n v="7500"/>
    <n v="0"/>
    <x v="1"/>
    <x v="0"/>
  </r>
  <r>
    <n v="381"/>
    <n v="18381"/>
    <s v="Sanjeet Kumar Yadav"/>
    <s v="Jay Prkash"/>
    <x v="0"/>
    <x v="3"/>
    <x v="172"/>
    <x v="7"/>
    <n v="7500"/>
    <n v="6900"/>
    <n v="600"/>
    <x v="0"/>
    <x v="1"/>
  </r>
  <r>
    <n v="382"/>
    <n v="18382"/>
    <s v="Arti Mishra"/>
    <s v="Baburam"/>
    <x v="0"/>
    <x v="3"/>
    <x v="173"/>
    <x v="7"/>
    <n v="7500"/>
    <n v="7500"/>
    <n v="0"/>
    <x v="1"/>
    <x v="9"/>
  </r>
  <r>
    <n v="383"/>
    <n v="18383"/>
    <s v="Mohd Rehan"/>
    <s v="Narendra Mishra"/>
    <x v="0"/>
    <x v="3"/>
    <x v="173"/>
    <x v="7"/>
    <n v="7500"/>
    <n v="7500"/>
    <n v="0"/>
    <x v="1"/>
    <x v="14"/>
  </r>
  <r>
    <n v="384"/>
    <n v="18384"/>
    <s v="Shubham Tiwari"/>
    <s v="Albert Silveira"/>
    <x v="1"/>
    <x v="3"/>
    <x v="173"/>
    <x v="7"/>
    <n v="7500"/>
    <n v="7500"/>
    <n v="0"/>
    <x v="1"/>
    <x v="2"/>
  </r>
  <r>
    <n v="385"/>
    <n v="18385"/>
    <s v="Manju Verma"/>
    <s v="Dinesh Kumar Gupta"/>
    <x v="1"/>
    <x v="3"/>
    <x v="174"/>
    <x v="7"/>
    <n v="7500"/>
    <n v="7100"/>
    <n v="400"/>
    <x v="0"/>
    <x v="3"/>
  </r>
  <r>
    <n v="386"/>
    <n v="18386"/>
    <s v="Pintu Singh"/>
    <s v="Rajesh Kumar"/>
    <x v="0"/>
    <x v="3"/>
    <x v="174"/>
    <x v="7"/>
    <n v="7500"/>
    <n v="6900"/>
    <n v="600"/>
    <x v="0"/>
    <x v="10"/>
  </r>
  <r>
    <n v="387"/>
    <n v="18387"/>
    <s v="Vipin Kumar Verma"/>
    <s v="Naveen Kumar"/>
    <x v="1"/>
    <x v="3"/>
    <x v="174"/>
    <x v="7"/>
    <n v="7500"/>
    <n v="7100"/>
    <n v="400"/>
    <x v="0"/>
    <x v="3"/>
  </r>
  <r>
    <n v="388"/>
    <n v="18388"/>
    <s v="Aatm Prakash Maurya"/>
    <s v="Rammurti Singh"/>
    <x v="0"/>
    <x v="3"/>
    <x v="175"/>
    <x v="7"/>
    <n v="7500"/>
    <n v="7500"/>
    <n v="0"/>
    <x v="1"/>
    <x v="10"/>
  </r>
  <r>
    <n v="389"/>
    <n v="18389"/>
    <s v="Lavedeep Singh"/>
    <s v="Prakash"/>
    <x v="0"/>
    <x v="3"/>
    <x v="175"/>
    <x v="7"/>
    <n v="7500"/>
    <n v="6900"/>
    <n v="600"/>
    <x v="0"/>
    <x v="12"/>
  </r>
  <r>
    <n v="390"/>
    <n v="18390"/>
    <s v="Suneel Kumar"/>
    <s v="Rajendra Singh"/>
    <x v="0"/>
    <x v="3"/>
    <x v="175"/>
    <x v="7"/>
    <n v="7500"/>
    <n v="7500"/>
    <n v="0"/>
    <x v="1"/>
    <x v="13"/>
  </r>
  <r>
    <n v="391"/>
    <n v="18391"/>
    <s v="Mahak Saxena"/>
    <s v="Jayram"/>
    <x v="1"/>
    <x v="3"/>
    <x v="176"/>
    <x v="7"/>
    <n v="7500"/>
    <n v="6900"/>
    <n v="600"/>
    <x v="0"/>
    <x v="6"/>
  </r>
  <r>
    <n v="392"/>
    <n v="18392"/>
    <s v="Priya Katiyar"/>
    <s v="Rajesh Kumar"/>
    <x v="0"/>
    <x v="3"/>
    <x v="176"/>
    <x v="7"/>
    <n v="7500"/>
    <n v="500"/>
    <n v="7000"/>
    <x v="0"/>
    <x v="12"/>
  </r>
  <r>
    <n v="393"/>
    <n v="18393"/>
    <s v="Shiva Verma"/>
    <s v="Cancel"/>
    <x v="1"/>
    <x v="3"/>
    <x v="176"/>
    <x v="7"/>
    <n v="7500"/>
    <n v="6900"/>
    <n v="600"/>
    <x v="0"/>
    <x v="12"/>
  </r>
  <r>
    <n v="394"/>
    <n v="18394"/>
    <s v="Abhinav Verma"/>
    <s v="Budhai"/>
    <x v="0"/>
    <x v="2"/>
    <x v="177"/>
    <x v="7"/>
    <n v="3200"/>
    <n v="3200"/>
    <n v="0"/>
    <x v="1"/>
    <x v="3"/>
  </r>
  <r>
    <n v="395"/>
    <n v="18395"/>
    <s v="Deepak Kumar Verma"/>
    <s v="Afjal"/>
    <x v="0"/>
    <x v="2"/>
    <x v="177"/>
    <x v="7"/>
    <n v="3200"/>
    <n v="2800"/>
    <n v="400"/>
    <x v="0"/>
    <x v="10"/>
  </r>
  <r>
    <n v="396"/>
    <n v="18396"/>
    <s v="Sajal Dixit"/>
    <s v="Ajay Kumar"/>
    <x v="1"/>
    <x v="3"/>
    <x v="177"/>
    <x v="7"/>
    <n v="7500"/>
    <n v="7500"/>
    <n v="0"/>
    <x v="1"/>
    <x v="10"/>
  </r>
  <r>
    <n v="397"/>
    <n v="18397"/>
    <s v="Abhinay Mishra"/>
    <s v="Vijay Pal Singh"/>
    <x v="0"/>
    <x v="3"/>
    <x v="178"/>
    <x v="7"/>
    <n v="7500"/>
    <n v="7500"/>
    <n v="0"/>
    <x v="1"/>
    <x v="14"/>
  </r>
  <r>
    <n v="398"/>
    <n v="18398"/>
    <s v="Krisna Gupta"/>
    <s v="Rakesh Kumar"/>
    <x v="0"/>
    <x v="3"/>
    <x v="178"/>
    <x v="7"/>
    <n v="7500"/>
    <n v="7500"/>
    <n v="0"/>
    <x v="1"/>
    <x v="2"/>
  </r>
  <r>
    <n v="399"/>
    <n v="18399"/>
    <s v="Saurabh Kumar Awasthi"/>
    <s v="Prem Narayan Raj"/>
    <x v="0"/>
    <x v="3"/>
    <x v="178"/>
    <x v="7"/>
    <n v="7500"/>
    <n v="7100"/>
    <n v="400"/>
    <x v="0"/>
    <x v="3"/>
  </r>
  <r>
    <n v="400"/>
    <n v="18400"/>
    <s v="Akash"/>
    <s v="Jay Prkash"/>
    <x v="1"/>
    <x v="3"/>
    <x v="179"/>
    <x v="7"/>
    <n v="7500"/>
    <n v="6900"/>
    <n v="600"/>
    <x v="0"/>
    <x v="10"/>
  </r>
  <r>
    <n v="401"/>
    <n v="18401"/>
    <s v="Anand Mohan"/>
    <s v="Shatrohan Lal"/>
    <x v="1"/>
    <x v="3"/>
    <x v="179"/>
    <x v="7"/>
    <n v="7500"/>
    <n v="7100"/>
    <n v="400"/>
    <x v="0"/>
    <x v="12"/>
  </r>
  <r>
    <n v="402"/>
    <n v="18402"/>
    <s v="Harish Gupta"/>
    <s v="Rajendra Prashad"/>
    <x v="1"/>
    <x v="3"/>
    <x v="179"/>
    <x v="7"/>
    <n v="7500"/>
    <n v="6900"/>
    <n v="600"/>
    <x v="0"/>
    <x v="13"/>
  </r>
  <r>
    <n v="403"/>
    <n v="18403"/>
    <s v="Aman Verma"/>
    <s v="Ramkailash"/>
    <x v="0"/>
    <x v="3"/>
    <x v="180"/>
    <x v="7"/>
    <n v="7500"/>
    <n v="7500"/>
    <n v="0"/>
    <x v="1"/>
    <x v="3"/>
  </r>
  <r>
    <n v="404"/>
    <n v="18404"/>
    <s v="Mohd Ovesh"/>
    <s v="Akhilesh Kumar Dixit"/>
    <x v="0"/>
    <x v="3"/>
    <x v="180"/>
    <x v="7"/>
    <n v="7500"/>
    <n v="7500"/>
    <n v="0"/>
    <x v="1"/>
    <x v="10"/>
  </r>
  <r>
    <n v="405"/>
    <n v="18405"/>
    <s v="Yuvraj Bhargav"/>
    <s v="Avdesh Kumar"/>
    <x v="0"/>
    <x v="3"/>
    <x v="180"/>
    <x v="7"/>
    <n v="7500"/>
    <n v="7500"/>
    <n v="0"/>
    <x v="1"/>
    <x v="12"/>
  </r>
  <r>
    <n v="406"/>
    <n v="18406"/>
    <s v="Ankit Kumar"/>
    <s v="Avdhesh Kumar"/>
    <x v="0"/>
    <x v="3"/>
    <x v="181"/>
    <x v="7"/>
    <n v="7500"/>
    <n v="6900"/>
    <n v="600"/>
    <x v="0"/>
    <x v="13"/>
  </r>
  <r>
    <n v="407"/>
    <n v="18407"/>
    <s v="Ayan Khan"/>
    <s v="Mohammad Rasheed"/>
    <x v="0"/>
    <x v="3"/>
    <x v="181"/>
    <x v="7"/>
    <n v="7500"/>
    <n v="6900"/>
    <n v="600"/>
    <x v="0"/>
    <x v="6"/>
  </r>
  <r>
    <n v="408"/>
    <n v="18408"/>
    <s v="Ram Nivas"/>
    <s v="Ram Kumar Awasthi"/>
    <x v="1"/>
    <x v="3"/>
    <x v="181"/>
    <x v="7"/>
    <n v="7500"/>
    <n v="7500"/>
    <n v="0"/>
    <x v="1"/>
    <x v="12"/>
  </r>
  <r>
    <n v="409"/>
    <n v="18409"/>
    <s v="Ankesh Kumar"/>
    <s v="Ramesh Kumar"/>
    <x v="1"/>
    <x v="3"/>
    <x v="182"/>
    <x v="7"/>
    <n v="7500"/>
    <n v="7500"/>
    <n v="0"/>
    <x v="1"/>
    <x v="12"/>
  </r>
  <r>
    <n v="410"/>
    <n v="18410"/>
    <s v="Anuj Kumar"/>
    <s v="Nand Ram Tyagi"/>
    <x v="0"/>
    <x v="3"/>
    <x v="182"/>
    <x v="7"/>
    <n v="7500"/>
    <n v="7100"/>
    <n v="400"/>
    <x v="0"/>
    <x v="3"/>
  </r>
  <r>
    <n v="411"/>
    <n v="18411"/>
    <s v="Neha Kumari"/>
    <s v="Ram Naresh Yadav"/>
    <x v="1"/>
    <x v="3"/>
    <x v="182"/>
    <x v="7"/>
    <n v="7500"/>
    <n v="900"/>
    <n v="6600"/>
    <x v="0"/>
    <x v="10"/>
  </r>
  <r>
    <n v="412"/>
    <n v="18412"/>
    <s v="Reena"/>
    <s v="Bahori Lal"/>
    <x v="0"/>
    <x v="3"/>
    <x v="183"/>
    <x v="7"/>
    <n v="7500"/>
    <n v="7100"/>
    <n v="400"/>
    <x v="0"/>
    <x v="10"/>
  </r>
  <r>
    <n v="413"/>
    <n v="18413"/>
    <s v="Shainky"/>
    <s v="Ram Kishor"/>
    <x v="0"/>
    <x v="3"/>
    <x v="183"/>
    <x v="7"/>
    <n v="7500"/>
    <n v="6900"/>
    <n v="600"/>
    <x v="0"/>
    <x v="14"/>
  </r>
  <r>
    <n v="414"/>
    <n v="18414"/>
    <s v="Vibhooti Singh"/>
    <s v="Vijay Bahadur Singh Chauhan"/>
    <x v="0"/>
    <x v="3"/>
    <x v="183"/>
    <x v="7"/>
    <n v="7500"/>
    <n v="6900"/>
    <n v="600"/>
    <x v="0"/>
    <x v="2"/>
  </r>
  <r>
    <n v="415"/>
    <n v="18415"/>
    <s v="Akshat Singh Tomar"/>
    <s v="Moh Ahmad"/>
    <x v="0"/>
    <x v="3"/>
    <x v="184"/>
    <x v="7"/>
    <n v="7500"/>
    <n v="7500"/>
    <n v="0"/>
    <x v="1"/>
    <x v="3"/>
  </r>
  <r>
    <n v="416"/>
    <n v="18416"/>
    <s v="Rajveer Kashyap"/>
    <s v="Sushil Rastogi"/>
    <x v="1"/>
    <x v="3"/>
    <x v="184"/>
    <x v="7"/>
    <n v="7500"/>
    <n v="7500"/>
    <n v="0"/>
    <x v="1"/>
    <x v="10"/>
  </r>
  <r>
    <n v="417"/>
    <n v="18417"/>
    <s v="Sanjeev Kumar Verma"/>
    <s v="Sarvan Kumar"/>
    <x v="1"/>
    <x v="3"/>
    <x v="184"/>
    <x v="7"/>
    <n v="7500"/>
    <n v="7500"/>
    <n v="0"/>
    <x v="1"/>
    <x v="12"/>
  </r>
  <r>
    <n v="418"/>
    <n v="18418"/>
    <s v="Altaf"/>
    <s v="Abdul Gani Khan"/>
    <x v="1"/>
    <x v="3"/>
    <x v="185"/>
    <x v="7"/>
    <n v="7500"/>
    <n v="6900"/>
    <n v="600"/>
    <x v="0"/>
    <x v="13"/>
  </r>
  <r>
    <n v="419"/>
    <n v="18419"/>
    <s v="Kajal Devi"/>
    <s v="Vasim Ahmad"/>
    <x v="0"/>
    <x v="3"/>
    <x v="185"/>
    <x v="7"/>
    <n v="7500"/>
    <n v="7500"/>
    <n v="0"/>
    <x v="1"/>
    <x v="0"/>
  </r>
  <r>
    <n v="420"/>
    <n v="18420"/>
    <s v="Shivani Devi"/>
    <s v="Md Rizwan"/>
    <x v="0"/>
    <x v="3"/>
    <x v="185"/>
    <x v="7"/>
    <n v="7500"/>
    <n v="6900"/>
    <n v="600"/>
    <x v="0"/>
    <x v="1"/>
  </r>
  <r>
    <n v="421"/>
    <n v="18421"/>
    <s v="Adarsh Verma"/>
    <s v="Harish Kumar"/>
    <x v="0"/>
    <x v="3"/>
    <x v="186"/>
    <x v="7"/>
    <n v="7500"/>
    <n v="7500"/>
    <n v="0"/>
    <x v="1"/>
    <x v="2"/>
  </r>
  <r>
    <n v="422"/>
    <n v="18422"/>
    <s v="Sumit Shukla"/>
    <s v="Ram Khelawan"/>
    <x v="0"/>
    <x v="3"/>
    <x v="186"/>
    <x v="7"/>
    <n v="7500"/>
    <n v="7100"/>
    <n v="400"/>
    <x v="0"/>
    <x v="3"/>
  </r>
  <r>
    <n v="423"/>
    <n v="18423"/>
    <s v="Vipin Shukla"/>
    <s v="Nadeem Akhtar Khan"/>
    <x v="0"/>
    <x v="3"/>
    <x v="186"/>
    <x v="7"/>
    <n v="7500"/>
    <n v="7500"/>
    <n v="0"/>
    <x v="1"/>
    <x v="4"/>
  </r>
  <r>
    <n v="424"/>
    <n v="18424"/>
    <s v="Arman"/>
    <s v="Prem Prakash Sharma"/>
    <x v="1"/>
    <x v="3"/>
    <x v="187"/>
    <x v="7"/>
    <n v="7500"/>
    <n v="7100"/>
    <n v="400"/>
    <x v="0"/>
    <x v="5"/>
  </r>
  <r>
    <n v="425"/>
    <n v="18425"/>
    <s v="Dheeru"/>
    <s v="Dinesh Gautam"/>
    <x v="1"/>
    <x v="3"/>
    <x v="187"/>
    <x v="7"/>
    <n v="7500"/>
    <n v="6900"/>
    <n v="600"/>
    <x v="0"/>
    <x v="6"/>
  </r>
  <r>
    <n v="426"/>
    <n v="18426"/>
    <s v="Tejpal"/>
    <s v="Heera Lal"/>
    <x v="1"/>
    <x v="3"/>
    <x v="187"/>
    <x v="7"/>
    <n v="7500"/>
    <n v="6900"/>
    <n v="600"/>
    <x v="0"/>
    <x v="7"/>
  </r>
  <r>
    <n v="427"/>
    <n v="18427"/>
    <s v="Iqra Umar"/>
    <s v="Radhe Shyam"/>
    <x v="0"/>
    <x v="3"/>
    <x v="188"/>
    <x v="7"/>
    <n v="7500"/>
    <n v="7500"/>
    <n v="0"/>
    <x v="1"/>
    <x v="8"/>
  </r>
  <r>
    <n v="428"/>
    <n v="18428"/>
    <s v="Mohd Shahanvaj"/>
    <s v="Anand Kumar Kashyap"/>
    <x v="0"/>
    <x v="3"/>
    <x v="188"/>
    <x v="7"/>
    <n v="7500"/>
    <n v="7500"/>
    <n v="0"/>
    <x v="1"/>
    <x v="9"/>
  </r>
  <r>
    <n v="429"/>
    <n v="18429"/>
    <s v="Ranjeet Kumar"/>
    <s v="Avadhesh Kumar Pandey"/>
    <x v="0"/>
    <x v="3"/>
    <x v="188"/>
    <x v="7"/>
    <n v="7500"/>
    <n v="7500"/>
    <n v="0"/>
    <x v="1"/>
    <x v="4"/>
  </r>
  <r>
    <n v="430"/>
    <n v="18430"/>
    <s v="Ankit"/>
    <s v="Ramesh Kumar"/>
    <x v="0"/>
    <x v="3"/>
    <x v="189"/>
    <x v="7"/>
    <n v="7500"/>
    <n v="6900"/>
    <n v="600"/>
    <x v="0"/>
    <x v="5"/>
  </r>
  <r>
    <n v="431"/>
    <n v="18431"/>
    <s v="Prateek Verma"/>
    <s v="Tejpal"/>
    <x v="1"/>
    <x v="3"/>
    <x v="189"/>
    <x v="7"/>
    <n v="7500"/>
    <n v="800"/>
    <n v="6700"/>
    <x v="0"/>
    <x v="0"/>
  </r>
  <r>
    <n v="432"/>
    <n v="18432"/>
    <s v="Shraddha Verma"/>
    <s v="Rajender Prasad Yadav"/>
    <x v="0"/>
    <x v="3"/>
    <x v="189"/>
    <x v="7"/>
    <n v="7500"/>
    <n v="6900"/>
    <n v="600"/>
    <x v="0"/>
    <x v="10"/>
  </r>
  <r>
    <n v="433"/>
    <n v="18433"/>
    <s v="Ayush Gupta"/>
    <s v="Data Ram"/>
    <x v="0"/>
    <x v="3"/>
    <x v="190"/>
    <x v="7"/>
    <n v="7500"/>
    <n v="7100"/>
    <n v="400"/>
    <x v="0"/>
    <x v="11"/>
  </r>
  <r>
    <n v="434"/>
    <n v="18434"/>
    <s v="Labh Singh"/>
    <s v="Amrish Shukla"/>
    <x v="1"/>
    <x v="3"/>
    <x v="190"/>
    <x v="7"/>
    <n v="7500"/>
    <n v="7500"/>
    <n v="0"/>
    <x v="1"/>
    <x v="15"/>
  </r>
  <r>
    <n v="435"/>
    <n v="18435"/>
    <s v="Lakshmi Gautam"/>
    <s v="Sandeep Kumar"/>
    <x v="1"/>
    <x v="3"/>
    <x v="190"/>
    <x v="7"/>
    <n v="7500"/>
    <n v="7500"/>
    <n v="0"/>
    <x v="1"/>
    <x v="11"/>
  </r>
  <r>
    <n v="436"/>
    <n v="18436"/>
    <s v="Ashish Kumar"/>
    <s v="Sunil Kumar"/>
    <x v="0"/>
    <x v="3"/>
    <x v="191"/>
    <x v="7"/>
    <n v="7500"/>
    <n v="7100"/>
    <n v="400"/>
    <x v="0"/>
    <x v="15"/>
  </r>
  <r>
    <n v="437"/>
    <n v="18437"/>
    <s v="Mahima Singh"/>
    <s v="Suresh Nath Srivastav"/>
    <x v="0"/>
    <x v="3"/>
    <x v="191"/>
    <x v="7"/>
    <n v="7500"/>
    <n v="6900"/>
    <n v="600"/>
    <x v="0"/>
    <x v="15"/>
  </r>
  <r>
    <n v="438"/>
    <n v="18438"/>
    <s v="Sushant Verma"/>
    <s v="Shiv Kumar Tiwari"/>
    <x v="0"/>
    <x v="3"/>
    <x v="191"/>
    <x v="7"/>
    <n v="7500"/>
    <n v="6900"/>
    <n v="600"/>
    <x v="0"/>
    <x v="11"/>
  </r>
  <r>
    <n v="439"/>
    <n v="18439"/>
    <s v="Alok Kashyap"/>
    <s v="Gendan Lal"/>
    <x v="1"/>
    <x v="3"/>
    <x v="192"/>
    <x v="7"/>
    <n v="7500"/>
    <n v="7500"/>
    <n v="0"/>
    <x v="1"/>
    <x v="1"/>
  </r>
  <r>
    <n v="440"/>
    <n v="18440"/>
    <s v="Purushottam"/>
    <s v="Rakesh Singh"/>
    <x v="0"/>
    <x v="3"/>
    <x v="192"/>
    <x v="7"/>
    <n v="7500"/>
    <n v="7500"/>
    <n v="0"/>
    <x v="1"/>
    <x v="16"/>
  </r>
  <r>
    <n v="441"/>
    <n v="18441"/>
    <s v="Ranjana Devi"/>
    <s v="Devendra Kumar Awasthi"/>
    <x v="1"/>
    <x v="3"/>
    <x v="192"/>
    <x v="7"/>
    <n v="7500"/>
    <n v="7500"/>
    <n v="0"/>
    <x v="1"/>
    <x v="4"/>
  </r>
  <r>
    <n v="442"/>
    <n v="18442"/>
    <s v="Karan Verma"/>
    <s v="Awadhesh Kumar"/>
    <x v="1"/>
    <x v="3"/>
    <x v="193"/>
    <x v="7"/>
    <n v="7500"/>
    <n v="6900"/>
    <n v="600"/>
    <x v="0"/>
    <x v="5"/>
  </r>
  <r>
    <n v="443"/>
    <n v="18443"/>
    <s v="Prashant Verma"/>
    <s v="Mohd Samim"/>
    <x v="0"/>
    <x v="3"/>
    <x v="193"/>
    <x v="7"/>
    <n v="7500"/>
    <n v="6900"/>
    <n v="600"/>
    <x v="0"/>
    <x v="5"/>
  </r>
  <r>
    <n v="444"/>
    <n v="18444"/>
    <s v="Sandeep Kumar Verma"/>
    <s v="Ram Kumar"/>
    <x v="0"/>
    <x v="3"/>
    <x v="193"/>
    <x v="7"/>
    <n v="7500"/>
    <n v="7500"/>
    <n v="0"/>
    <x v="1"/>
    <x v="12"/>
  </r>
  <r>
    <n v="445"/>
    <n v="18445"/>
    <s v="Ankush Kashyap"/>
    <s v="Ashafaq Ali"/>
    <x v="0"/>
    <x v="3"/>
    <x v="194"/>
    <x v="7"/>
    <n v="7500"/>
    <n v="7500"/>
    <n v="0"/>
    <x v="1"/>
    <x v="14"/>
  </r>
  <r>
    <n v="446"/>
    <n v="18446"/>
    <s v="Archit Arya"/>
    <s v="Ramakant Trivedi"/>
    <x v="0"/>
    <x v="3"/>
    <x v="194"/>
    <x v="7"/>
    <n v="7500"/>
    <n v="7100"/>
    <n v="400"/>
    <x v="0"/>
    <x v="2"/>
  </r>
  <r>
    <n v="447"/>
    <n v="18447"/>
    <s v="Shadab"/>
    <s v="Fekan Singh"/>
    <x v="0"/>
    <x v="3"/>
    <x v="194"/>
    <x v="7"/>
    <n v="7500"/>
    <n v="700"/>
    <n v="6800"/>
    <x v="0"/>
    <x v="16"/>
  </r>
  <r>
    <n v="448"/>
    <n v="18448"/>
    <s v="Anurag Verma"/>
    <s v="Shambhu Nath"/>
    <x v="1"/>
    <x v="3"/>
    <x v="195"/>
    <x v="7"/>
    <n v="7500"/>
    <n v="6900"/>
    <n v="600"/>
    <x v="0"/>
    <x v="16"/>
  </r>
  <r>
    <n v="449"/>
    <n v="18449"/>
    <s v="Karan Raj"/>
    <s v="Vinod Kumar Verma"/>
    <x v="1"/>
    <x v="3"/>
    <x v="195"/>
    <x v="7"/>
    <n v="7500"/>
    <n v="7100"/>
    <n v="400"/>
    <x v="0"/>
    <x v="7"/>
  </r>
  <r>
    <n v="450"/>
    <n v="18450"/>
    <s v="Mansi Soni"/>
    <s v="Akhilesh Kumar Verma"/>
    <x v="1"/>
    <x v="3"/>
    <x v="195"/>
    <x v="7"/>
    <n v="7500"/>
    <n v="6900"/>
    <n v="600"/>
    <x v="0"/>
    <x v="7"/>
  </r>
  <r>
    <n v="451"/>
    <n v="18451"/>
    <s v="Abhijeet Shukla"/>
    <s v="Jabbar Khan"/>
    <x v="0"/>
    <x v="3"/>
    <x v="196"/>
    <x v="8"/>
    <n v="7500"/>
    <n v="7500"/>
    <n v="0"/>
    <x v="1"/>
    <x v="13"/>
  </r>
  <r>
    <n v="452"/>
    <n v="18452"/>
    <s v="Piyush"/>
    <s v="Balbharda Singh"/>
    <x v="0"/>
    <x v="3"/>
    <x v="196"/>
    <x v="8"/>
    <n v="7500"/>
    <n v="7500"/>
    <n v="0"/>
    <x v="1"/>
    <x v="0"/>
  </r>
  <r>
    <n v="453"/>
    <n v="18453"/>
    <s v="Saksham"/>
    <s v="Chhedi Lal"/>
    <x v="0"/>
    <x v="3"/>
    <x v="196"/>
    <x v="8"/>
    <n v="7500"/>
    <n v="7500"/>
    <n v="0"/>
    <x v="1"/>
    <x v="1"/>
  </r>
  <r>
    <n v="454"/>
    <n v="18454"/>
    <s v="Harshit Verma"/>
    <s v="Gyan"/>
    <x v="0"/>
    <x v="3"/>
    <x v="197"/>
    <x v="8"/>
    <n v="7500"/>
    <n v="6900"/>
    <n v="600"/>
    <x v="0"/>
    <x v="2"/>
  </r>
  <r>
    <n v="455"/>
    <n v="18455"/>
    <s v="Kaushal"/>
    <s v="Shiv Pujan"/>
    <x v="1"/>
    <x v="3"/>
    <x v="197"/>
    <x v="8"/>
    <n v="7500"/>
    <n v="7500"/>
    <n v="0"/>
    <x v="1"/>
    <x v="3"/>
  </r>
  <r>
    <n v="456"/>
    <n v="18456"/>
    <s v="Vimal Rastogi"/>
    <s v="Anil Kumar"/>
    <x v="0"/>
    <x v="3"/>
    <x v="197"/>
    <x v="8"/>
    <n v="7500"/>
    <n v="6900"/>
    <n v="600"/>
    <x v="0"/>
    <x v="4"/>
  </r>
  <r>
    <n v="457"/>
    <n v="18457"/>
    <s v="Daud Ali"/>
    <s v="Kamal Kishor"/>
    <x v="1"/>
    <x v="3"/>
    <x v="198"/>
    <x v="8"/>
    <n v="7500"/>
    <n v="7500"/>
    <n v="0"/>
    <x v="1"/>
    <x v="5"/>
  </r>
  <r>
    <n v="458"/>
    <n v="18458"/>
    <s v="Vineet Gupta"/>
    <s v="Zaib Singh"/>
    <x v="1"/>
    <x v="3"/>
    <x v="198"/>
    <x v="8"/>
    <n v="7500"/>
    <n v="7500"/>
    <n v="0"/>
    <x v="1"/>
    <x v="6"/>
  </r>
  <r>
    <n v="459"/>
    <n v="18459"/>
    <s v="Vishal Awasthi"/>
    <s v="Ram Kumar"/>
    <x v="0"/>
    <x v="3"/>
    <x v="198"/>
    <x v="8"/>
    <n v="7500"/>
    <n v="7100"/>
    <n v="400"/>
    <x v="0"/>
    <x v="7"/>
  </r>
  <r>
    <n v="460"/>
    <n v="18460"/>
    <s v="Mohd Asif"/>
    <s v="Ajay Mishra"/>
    <x v="0"/>
    <x v="3"/>
    <x v="199"/>
    <x v="8"/>
    <n v="7500"/>
    <n v="6900"/>
    <n v="600"/>
    <x v="0"/>
    <x v="8"/>
  </r>
  <r>
    <n v="461"/>
    <n v="18461"/>
    <s v="Rustam Husain"/>
    <s v="Chunnu"/>
    <x v="0"/>
    <x v="3"/>
    <x v="199"/>
    <x v="8"/>
    <n v="7500"/>
    <n v="6900"/>
    <n v="600"/>
    <x v="0"/>
    <x v="9"/>
  </r>
  <r>
    <n v="462"/>
    <n v="18462"/>
    <s v="Shradha Devi"/>
    <s v="Arvind"/>
    <x v="0"/>
    <x v="3"/>
    <x v="199"/>
    <x v="8"/>
    <n v="7500"/>
    <n v="7100"/>
    <n v="400"/>
    <x v="0"/>
    <x v="4"/>
  </r>
  <r>
    <n v="463"/>
    <n v="18463"/>
    <s v="Akshay Kanaujiya"/>
    <s v="Radheshyam"/>
    <x v="1"/>
    <x v="3"/>
    <x v="200"/>
    <x v="8"/>
    <n v="7500"/>
    <n v="7500"/>
    <n v="0"/>
    <x v="1"/>
    <x v="5"/>
  </r>
  <r>
    <n v="464"/>
    <n v="18464"/>
    <s v="Gayatree Devi"/>
    <s v="Deshraj"/>
    <x v="0"/>
    <x v="3"/>
    <x v="200"/>
    <x v="8"/>
    <n v="7500"/>
    <n v="7500"/>
    <n v="0"/>
    <x v="1"/>
    <x v="0"/>
  </r>
  <r>
    <n v="465"/>
    <n v="18465"/>
    <s v="Shivam Awasthi"/>
    <s v="Jaspal Singh"/>
    <x v="1"/>
    <x v="3"/>
    <x v="200"/>
    <x v="8"/>
    <n v="7500"/>
    <n v="7500"/>
    <n v="0"/>
    <x v="1"/>
    <x v="10"/>
  </r>
  <r>
    <n v="694"/>
    <n v="18694"/>
    <s v="Ravindra"/>
    <s v="Jharikhe Lal"/>
    <x v="0"/>
    <x v="3"/>
    <x v="201"/>
    <x v="8"/>
    <n v="7500"/>
    <n v="7500"/>
    <n v="0"/>
    <x v="1"/>
    <x v="13"/>
  </r>
  <r>
    <n v="695"/>
    <n v="18695"/>
    <s v="Subham Gautam"/>
    <s v="Mithilesh Kumar"/>
    <x v="0"/>
    <x v="3"/>
    <x v="201"/>
    <x v="8"/>
    <n v="7500"/>
    <n v="6900"/>
    <n v="600"/>
    <x v="0"/>
    <x v="0"/>
  </r>
  <r>
    <n v="825"/>
    <n v="18825"/>
    <s v="Amit Kumar Pandey"/>
    <s v="Bahadur"/>
    <x v="1"/>
    <x v="3"/>
    <x v="201"/>
    <x v="8"/>
    <n v="7500"/>
    <n v="6900"/>
    <n v="600"/>
    <x v="0"/>
    <x v="1"/>
  </r>
  <r>
    <n v="44"/>
    <n v="18044"/>
    <s v="Irfan"/>
    <s v="Ashraf Ali"/>
    <x v="0"/>
    <x v="1"/>
    <x v="202"/>
    <x v="8"/>
    <n v="5500"/>
    <n v="5500"/>
    <n v="0"/>
    <x v="1"/>
    <x v="3"/>
  </r>
  <r>
    <n v="466"/>
    <n v="18466"/>
    <s v="Avika Gupta"/>
    <s v="Santosh Kumar"/>
    <x v="0"/>
    <x v="2"/>
    <x v="202"/>
    <x v="8"/>
    <n v="3200"/>
    <n v="2800"/>
    <n v="400"/>
    <x v="0"/>
    <x v="11"/>
  </r>
  <r>
    <n v="696"/>
    <n v="18696"/>
    <s v="Shobhit Kumar"/>
    <s v="Ribai Prasad"/>
    <x v="0"/>
    <x v="0"/>
    <x v="202"/>
    <x v="8"/>
    <n v="4400"/>
    <n v="3800"/>
    <n v="600"/>
    <x v="0"/>
    <x v="1"/>
  </r>
  <r>
    <n v="45"/>
    <n v="18045"/>
    <s v="Abhishek"/>
    <s v="Veerendra Kumar"/>
    <x v="1"/>
    <x v="1"/>
    <x v="203"/>
    <x v="8"/>
    <n v="5500"/>
    <n v="5500"/>
    <n v="0"/>
    <x v="1"/>
    <x v="10"/>
  </r>
  <r>
    <n v="901"/>
    <n v="18901"/>
    <s v="Sateesh Kumar"/>
    <s v="Moti Lal"/>
    <x v="1"/>
    <x v="2"/>
    <x v="203"/>
    <x v="8"/>
    <n v="3200"/>
    <n v="2600"/>
    <n v="600"/>
    <x v="0"/>
    <x v="10"/>
  </r>
  <r>
    <n v="902"/>
    <n v="18902"/>
    <s v="Sharad Mishra"/>
    <s v="Sunil Kumar Nischal"/>
    <x v="1"/>
    <x v="0"/>
    <x v="203"/>
    <x v="8"/>
    <n v="4400"/>
    <n v="4400"/>
    <n v="0"/>
    <x v="1"/>
    <x v="12"/>
  </r>
  <r>
    <n v="467"/>
    <n v="18467"/>
    <s v="Shubham Kumar"/>
    <s v="Babuna Kushwaha"/>
    <x v="0"/>
    <x v="0"/>
    <x v="204"/>
    <x v="8"/>
    <n v="4400"/>
    <n v="4400"/>
    <n v="0"/>
    <x v="1"/>
    <x v="15"/>
  </r>
  <r>
    <n v="903"/>
    <n v="18903"/>
    <s v="Ashish Singh"/>
    <s v="Shri Keshan"/>
    <x v="0"/>
    <x v="2"/>
    <x v="204"/>
    <x v="8"/>
    <n v="3200"/>
    <n v="3200"/>
    <n v="0"/>
    <x v="1"/>
    <x v="13"/>
  </r>
  <r>
    <n v="904"/>
    <n v="18904"/>
    <s v="Dheeru Yadav"/>
    <s v="Mohd. Waseem Khan"/>
    <x v="0"/>
    <x v="2"/>
    <x v="204"/>
    <x v="8"/>
    <n v="3200"/>
    <n v="2600"/>
    <n v="600"/>
    <x v="0"/>
    <x v="0"/>
  </r>
  <r>
    <n v="97"/>
    <n v="18097"/>
    <s v="Ashwani Kumar Verma"/>
    <s v="Ravi Kant"/>
    <x v="1"/>
    <x v="0"/>
    <x v="205"/>
    <x v="8"/>
    <n v="4400"/>
    <n v="3800"/>
    <n v="600"/>
    <x v="0"/>
    <x v="0"/>
  </r>
  <r>
    <n v="648"/>
    <n v="18648"/>
    <s v="Aditya Kumar"/>
    <s v="Ramoo Singh"/>
    <x v="0"/>
    <x v="0"/>
    <x v="205"/>
    <x v="8"/>
    <n v="4400"/>
    <n v="4400"/>
    <n v="0"/>
    <x v="1"/>
    <x v="12"/>
  </r>
  <r>
    <n v="850"/>
    <n v="18850"/>
    <s v="Ashish Kumar"/>
    <s v="Babu Ram"/>
    <x v="0"/>
    <x v="0"/>
    <x v="205"/>
    <x v="8"/>
    <n v="4400"/>
    <n v="3800"/>
    <n v="600"/>
    <x v="0"/>
    <x v="2"/>
  </r>
  <r>
    <n v="120"/>
    <n v="18120"/>
    <s v="Nujhat Khatoon"/>
    <s v="Vimal Dixit"/>
    <x v="0"/>
    <x v="0"/>
    <x v="206"/>
    <x v="8"/>
    <n v="4400"/>
    <n v="4400"/>
    <n v="0"/>
    <x v="1"/>
    <x v="10"/>
  </r>
  <r>
    <n v="121"/>
    <n v="18121"/>
    <s v="Rubi Singh"/>
    <s v="Moh Ahmad"/>
    <x v="1"/>
    <x v="0"/>
    <x v="206"/>
    <x v="8"/>
    <n v="4400"/>
    <n v="4400"/>
    <n v="0"/>
    <x v="1"/>
    <x v="10"/>
  </r>
  <r>
    <n v="905"/>
    <n v="18905"/>
    <s v="Mosahariyar"/>
    <s v="Sabir Ali"/>
    <x v="1"/>
    <x v="0"/>
    <x v="206"/>
    <x v="8"/>
    <n v="4400"/>
    <n v="4400"/>
    <n v="0"/>
    <x v="1"/>
    <x v="1"/>
  </r>
  <r>
    <n v="122"/>
    <n v="18122"/>
    <s v="Lav Kumar"/>
    <s v="Kamal Ahmad"/>
    <x v="0"/>
    <x v="0"/>
    <x v="207"/>
    <x v="8"/>
    <n v="4400"/>
    <n v="4000"/>
    <n v="400"/>
    <x v="0"/>
    <x v="14"/>
  </r>
  <r>
    <n v="123"/>
    <n v="18123"/>
    <s v="Mohammad Yasir"/>
    <s v="Madari"/>
    <x v="0"/>
    <x v="0"/>
    <x v="207"/>
    <x v="8"/>
    <n v="4400"/>
    <n v="4000"/>
    <n v="400"/>
    <x v="0"/>
    <x v="2"/>
  </r>
  <r>
    <n v="124"/>
    <n v="18124"/>
    <s v="Vijay Kumar"/>
    <s v="Moh Ahmad"/>
    <x v="0"/>
    <x v="0"/>
    <x v="207"/>
    <x v="8"/>
    <n v="4400"/>
    <n v="3800"/>
    <n v="600"/>
    <x v="0"/>
    <x v="3"/>
  </r>
  <r>
    <n v="125"/>
    <n v="18125"/>
    <s v="Mohd Asib Khan"/>
    <s v="Sundar Lal"/>
    <x v="1"/>
    <x v="0"/>
    <x v="208"/>
    <x v="8"/>
    <n v="4400"/>
    <n v="4400"/>
    <n v="0"/>
    <x v="1"/>
    <x v="10"/>
  </r>
  <r>
    <n v="126"/>
    <n v="18126"/>
    <s v="Zubaida Khatoon"/>
    <s v="Balak Ram"/>
    <x v="0"/>
    <x v="0"/>
    <x v="208"/>
    <x v="8"/>
    <n v="4400"/>
    <n v="3800"/>
    <n v="600"/>
    <x v="0"/>
    <x v="12"/>
  </r>
  <r>
    <n v="851"/>
    <n v="18851"/>
    <s v="Nirmal Singh"/>
    <s v="Udit Kumar Mishra"/>
    <x v="1"/>
    <x v="0"/>
    <x v="208"/>
    <x v="8"/>
    <n v="4400"/>
    <n v="4400"/>
    <n v="0"/>
    <x v="1"/>
    <x v="3"/>
  </r>
  <r>
    <n v="127"/>
    <n v="18127"/>
    <s v="Anjali Singh"/>
    <s v="Kailash Chandra Pal"/>
    <x v="0"/>
    <x v="0"/>
    <x v="209"/>
    <x v="8"/>
    <n v="4400"/>
    <n v="3800"/>
    <n v="600"/>
    <x v="0"/>
    <x v="13"/>
  </r>
  <r>
    <n v="128"/>
    <n v="18128"/>
    <s v="Azara Bano"/>
    <s v="Ramchandra"/>
    <x v="0"/>
    <x v="0"/>
    <x v="209"/>
    <x v="8"/>
    <n v="4400"/>
    <n v="3800"/>
    <n v="600"/>
    <x v="0"/>
    <x v="6"/>
  </r>
  <r>
    <n v="129"/>
    <n v="18129"/>
    <s v="Neha Verma"/>
    <s v="Babu Ram"/>
    <x v="1"/>
    <x v="0"/>
    <x v="209"/>
    <x v="8"/>
    <n v="4400"/>
    <n v="4400"/>
    <n v="0"/>
    <x v="1"/>
    <x v="12"/>
  </r>
  <r>
    <n v="46"/>
    <n v="18046"/>
    <s v="Deepak Kumar"/>
    <s v="Dinesh Kumar"/>
    <x v="0"/>
    <x v="0"/>
    <x v="210"/>
    <x v="8"/>
    <n v="4400"/>
    <n v="4400"/>
    <n v="0"/>
    <x v="1"/>
    <x v="12"/>
  </r>
  <r>
    <n v="47"/>
    <n v="18047"/>
    <s v="Janardan Pal"/>
    <s v="Ram Asare"/>
    <x v="0"/>
    <x v="0"/>
    <x v="210"/>
    <x v="8"/>
    <n v="4400"/>
    <n v="4400"/>
    <n v="0"/>
    <x v="1"/>
    <x v="13"/>
  </r>
  <r>
    <n v="130"/>
    <n v="18130"/>
    <s v="Vivek Kumar Verma"/>
    <s v="Ram Chandra Yadav"/>
    <x v="0"/>
    <x v="0"/>
    <x v="210"/>
    <x v="8"/>
    <n v="4400"/>
    <n v="4400"/>
    <n v="0"/>
    <x v="1"/>
    <x v="12"/>
  </r>
  <r>
    <n v="131"/>
    <n v="18131"/>
    <s v="Muskan"/>
    <s v="Suraj Prasad"/>
    <x v="1"/>
    <x v="0"/>
    <x v="211"/>
    <x v="8"/>
    <n v="4400"/>
    <n v="4000"/>
    <n v="400"/>
    <x v="0"/>
    <x v="3"/>
  </r>
  <r>
    <n v="132"/>
    <n v="18132"/>
    <s v="Rahnuma Anzum"/>
    <s v="Vipin Kumar Verma"/>
    <x v="1"/>
    <x v="0"/>
    <x v="211"/>
    <x v="8"/>
    <n v="4400"/>
    <n v="4000"/>
    <n v="400"/>
    <x v="0"/>
    <x v="10"/>
  </r>
  <r>
    <n v="649"/>
    <n v="18649"/>
    <s v="Anuj Kumar"/>
    <s v="Bechelal"/>
    <x v="1"/>
    <x v="0"/>
    <x v="211"/>
    <x v="8"/>
    <n v="4400"/>
    <n v="3800"/>
    <n v="600"/>
    <x v="0"/>
    <x v="13"/>
  </r>
  <r>
    <n v="133"/>
    <n v="18133"/>
    <s v="Jooli"/>
    <s v="Jameel Hasan"/>
    <x v="0"/>
    <x v="0"/>
    <x v="212"/>
    <x v="8"/>
    <n v="4400"/>
    <n v="4400"/>
    <n v="0"/>
    <x v="1"/>
    <x v="3"/>
  </r>
  <r>
    <n v="650"/>
    <n v="18650"/>
    <s v="Umesh Kumar Rana"/>
    <s v="Sarvan Kumar"/>
    <x v="0"/>
    <x v="0"/>
    <x v="212"/>
    <x v="8"/>
    <n v="4400"/>
    <n v="3800"/>
    <n v="600"/>
    <x v="0"/>
    <x v="6"/>
  </r>
  <r>
    <n v="920"/>
    <n v="18920"/>
    <s v="Manoj Kumar"/>
    <s v="Vinod Kumar"/>
    <x v="0"/>
    <x v="0"/>
    <x v="212"/>
    <x v="8"/>
    <n v="4400"/>
    <n v="4400"/>
    <n v="0"/>
    <x v="1"/>
    <x v="11"/>
  </r>
  <r>
    <n v="48"/>
    <n v="18048"/>
    <s v="Suraj Kumar Tiwari"/>
    <s v="Prahlad Singh"/>
    <x v="1"/>
    <x v="0"/>
    <x v="213"/>
    <x v="8"/>
    <n v="4400"/>
    <n v="3800"/>
    <n v="600"/>
    <x v="0"/>
    <x v="6"/>
  </r>
  <r>
    <n v="134"/>
    <n v="18134"/>
    <s v="Akash Kumar"/>
    <s v="Heera Lal"/>
    <x v="0"/>
    <x v="0"/>
    <x v="213"/>
    <x v="8"/>
    <n v="4400"/>
    <n v="4400"/>
    <n v="0"/>
    <x v="1"/>
    <x v="10"/>
  </r>
  <r>
    <n v="906"/>
    <n v="18906"/>
    <s v="Mohammad Shahid Khan"/>
    <s v="Ajay Kumar Shukla"/>
    <x v="0"/>
    <x v="0"/>
    <x v="213"/>
    <x v="8"/>
    <n v="4400"/>
    <n v="3800"/>
    <n v="600"/>
    <x v="0"/>
    <x v="2"/>
  </r>
  <r>
    <n v="135"/>
    <n v="18135"/>
    <s v="Ravi Kumar"/>
    <s v="Ritesh Kumar Gupta"/>
    <x v="1"/>
    <x v="0"/>
    <x v="214"/>
    <x v="8"/>
    <n v="4400"/>
    <n v="4400"/>
    <n v="0"/>
    <x v="1"/>
    <x v="12"/>
  </r>
  <r>
    <n v="136"/>
    <n v="18136"/>
    <s v="Rekha Singh"/>
    <s v="Shailendra Kumar"/>
    <x v="1"/>
    <x v="0"/>
    <x v="214"/>
    <x v="8"/>
    <n v="4400"/>
    <n v="4400"/>
    <n v="0"/>
    <x v="1"/>
    <x v="13"/>
  </r>
  <r>
    <n v="921"/>
    <n v="18921"/>
    <s v="Ajay Kumar"/>
    <s v="Ram Muneesh"/>
    <x v="0"/>
    <x v="0"/>
    <x v="214"/>
    <x v="8"/>
    <n v="4400"/>
    <n v="4400"/>
    <n v="0"/>
    <x v="1"/>
    <x v="15"/>
  </r>
  <r>
    <n v="49"/>
    <n v="18049"/>
    <s v="Kamlesh"/>
    <s v="Balveer Singh"/>
    <x v="0"/>
    <x v="0"/>
    <x v="215"/>
    <x v="8"/>
    <n v="4400"/>
    <n v="4000"/>
    <n v="400"/>
    <x v="0"/>
    <x v="0"/>
  </r>
  <r>
    <n v="852"/>
    <n v="18852"/>
    <s v="Sonu Yadav"/>
    <s v="Satya Prakash"/>
    <x v="0"/>
    <x v="0"/>
    <x v="215"/>
    <x v="8"/>
    <n v="4400"/>
    <n v="4000"/>
    <n v="400"/>
    <x v="0"/>
    <x v="10"/>
  </r>
  <r>
    <n v="922"/>
    <n v="18922"/>
    <s v="Arpit Jaiswal"/>
    <s v="Malkhe Ram"/>
    <x v="0"/>
    <x v="0"/>
    <x v="215"/>
    <x v="8"/>
    <n v="4400"/>
    <n v="3800"/>
    <n v="600"/>
    <x v="0"/>
    <x v="15"/>
  </r>
  <r>
    <n v="50"/>
    <n v="18050"/>
    <s v="Ajay Kumar"/>
    <s v="Sarvesh Kumar"/>
    <x v="1"/>
    <x v="0"/>
    <x v="216"/>
    <x v="8"/>
    <n v="4400"/>
    <n v="4400"/>
    <n v="0"/>
    <x v="1"/>
    <x v="1"/>
  </r>
  <r>
    <n v="137"/>
    <n v="18137"/>
    <s v="Elma"/>
    <s v="Babu Ram"/>
    <x v="1"/>
    <x v="0"/>
    <x v="216"/>
    <x v="8"/>
    <n v="4400"/>
    <n v="2000"/>
    <n v="2400"/>
    <x v="0"/>
    <x v="6"/>
  </r>
  <r>
    <n v="853"/>
    <n v="18853"/>
    <s v="Mo. Sameer"/>
    <s v="Buddha Maurya"/>
    <x v="0"/>
    <x v="0"/>
    <x v="216"/>
    <x v="8"/>
    <n v="4400"/>
    <n v="3800"/>
    <n v="600"/>
    <x v="0"/>
    <x v="12"/>
  </r>
  <r>
    <n v="51"/>
    <n v="18051"/>
    <s v="Pallavi Devi"/>
    <s v="Arvesh Kumar"/>
    <x v="0"/>
    <x v="0"/>
    <x v="217"/>
    <x v="8"/>
    <n v="4400"/>
    <n v="3800"/>
    <n v="600"/>
    <x v="0"/>
    <x v="9"/>
  </r>
  <r>
    <n v="52"/>
    <n v="18052"/>
    <s v="Umesh Kumar"/>
    <s v="Ramesh Kumar"/>
    <x v="0"/>
    <x v="0"/>
    <x v="217"/>
    <x v="8"/>
    <n v="4400"/>
    <n v="3800"/>
    <n v="600"/>
    <x v="0"/>
    <x v="14"/>
  </r>
  <r>
    <n v="854"/>
    <n v="18854"/>
    <s v="Vivek Kumar"/>
    <s v="Ramkailash"/>
    <x v="1"/>
    <x v="0"/>
    <x v="217"/>
    <x v="8"/>
    <n v="4400"/>
    <n v="4400"/>
    <n v="0"/>
    <x v="1"/>
    <x v="13"/>
  </r>
  <r>
    <n v="138"/>
    <n v="18138"/>
    <s v="Mahira Begum"/>
    <s v="Jagmohan Verma"/>
    <x v="0"/>
    <x v="0"/>
    <x v="218"/>
    <x v="8"/>
    <n v="4400"/>
    <n v="4400"/>
    <n v="0"/>
    <x v="1"/>
    <x v="0"/>
  </r>
  <r>
    <n v="651"/>
    <n v="18651"/>
    <s v="Anoop Kumar"/>
    <s v="Rakesh Kumar"/>
    <x v="0"/>
    <x v="0"/>
    <x v="218"/>
    <x v="8"/>
    <n v="4400"/>
    <n v="4400"/>
    <n v="0"/>
    <x v="1"/>
    <x v="12"/>
  </r>
  <r>
    <n v="652"/>
    <n v="18652"/>
    <s v="Sachin Kumar"/>
    <s v="Bindra Prasad"/>
    <x v="0"/>
    <x v="0"/>
    <x v="218"/>
    <x v="8"/>
    <n v="4400"/>
    <n v="1800"/>
    <n v="2600"/>
    <x v="0"/>
    <x v="12"/>
  </r>
  <r>
    <n v="855"/>
    <n v="18855"/>
    <s v="Civil Katiyar"/>
    <s v="Vijay Bahadur"/>
    <x v="1"/>
    <x v="0"/>
    <x v="219"/>
    <x v="8"/>
    <n v="4400"/>
    <n v="4000"/>
    <n v="400"/>
    <x v="0"/>
    <x v="6"/>
  </r>
  <r>
    <n v="856"/>
    <n v="18856"/>
    <s v="Kamal Kumar"/>
    <s v="Harindra Kumar"/>
    <x v="1"/>
    <x v="0"/>
    <x v="219"/>
    <x v="8"/>
    <n v="4400"/>
    <n v="3800"/>
    <n v="600"/>
    <x v="0"/>
    <x v="12"/>
  </r>
  <r>
    <n v="923"/>
    <n v="18923"/>
    <s v="Ram Pravesh"/>
    <s v="Mohd Umar"/>
    <x v="1"/>
    <x v="0"/>
    <x v="219"/>
    <x v="8"/>
    <n v="4400"/>
    <n v="2500"/>
    <n v="1900"/>
    <x v="0"/>
    <x v="11"/>
  </r>
  <r>
    <n v="857"/>
    <n v="18857"/>
    <s v="Shagun Awasthi"/>
    <s v="Gul Mohammad"/>
    <x v="0"/>
    <x v="0"/>
    <x v="220"/>
    <x v="8"/>
    <n v="4400"/>
    <n v="4400"/>
    <n v="0"/>
    <x v="1"/>
    <x v="12"/>
  </r>
  <r>
    <n v="858"/>
    <n v="18858"/>
    <s v="Shlok Saxena"/>
    <s v="Kaushlendra Kumar Pandey"/>
    <x v="0"/>
    <x v="0"/>
    <x v="220"/>
    <x v="8"/>
    <n v="4400"/>
    <n v="4400"/>
    <n v="0"/>
    <x v="1"/>
    <x v="3"/>
  </r>
  <r>
    <n v="907"/>
    <n v="18907"/>
    <s v="Amreesh Kumar"/>
    <s v="Mo. Shareef"/>
    <x v="0"/>
    <x v="0"/>
    <x v="220"/>
    <x v="8"/>
    <n v="4400"/>
    <n v="3800"/>
    <n v="600"/>
    <x v="0"/>
    <x v="3"/>
  </r>
  <r>
    <n v="53"/>
    <n v="18053"/>
    <s v="Sanjay Kumar"/>
    <s v="Jagtar Singh"/>
    <x v="1"/>
    <x v="0"/>
    <x v="221"/>
    <x v="9"/>
    <n v="4400"/>
    <n v="3800"/>
    <n v="600"/>
    <x v="0"/>
    <x v="2"/>
  </r>
  <r>
    <n v="697"/>
    <n v="18697"/>
    <s v="Mamta Jaiswal"/>
    <s v="Brahm Singh"/>
    <x v="0"/>
    <x v="0"/>
    <x v="221"/>
    <x v="9"/>
    <n v="4400"/>
    <n v="3800"/>
    <n v="600"/>
    <x v="0"/>
    <x v="2"/>
  </r>
  <r>
    <n v="859"/>
    <n v="18859"/>
    <s v="Aakash Singh"/>
    <s v="Israr Khan"/>
    <x v="0"/>
    <x v="0"/>
    <x v="221"/>
    <x v="9"/>
    <n v="4400"/>
    <n v="2800"/>
    <n v="1600"/>
    <x v="0"/>
    <x v="10"/>
  </r>
  <r>
    <n v="139"/>
    <n v="18139"/>
    <s v="Arpit Mishra"/>
    <s v="Shailesh Kumar Mishra"/>
    <x v="1"/>
    <x v="0"/>
    <x v="222"/>
    <x v="9"/>
    <n v="4400"/>
    <n v="4400"/>
    <n v="0"/>
    <x v="1"/>
    <x v="1"/>
  </r>
  <r>
    <n v="860"/>
    <n v="18860"/>
    <s v="Amit Kumar"/>
    <s v="Naveen Kumar"/>
    <x v="1"/>
    <x v="0"/>
    <x v="222"/>
    <x v="9"/>
    <n v="4400"/>
    <n v="4400"/>
    <n v="0"/>
    <x v="1"/>
    <x v="3"/>
  </r>
  <r>
    <n v="861"/>
    <n v="18861"/>
    <s v="Mohd Laraib Nadeem Khan"/>
    <s v="Ramesh Kumar"/>
    <x v="0"/>
    <x v="0"/>
    <x v="222"/>
    <x v="9"/>
    <n v="4400"/>
    <n v="4400"/>
    <n v="0"/>
    <x v="1"/>
    <x v="10"/>
  </r>
  <r>
    <n v="54"/>
    <n v="18054"/>
    <s v="Abhishek"/>
    <s v="Ram Chandra"/>
    <x v="0"/>
    <x v="0"/>
    <x v="223"/>
    <x v="9"/>
    <n v="4400"/>
    <n v="4000"/>
    <n v="400"/>
    <x v="0"/>
    <x v="3"/>
  </r>
  <r>
    <n v="55"/>
    <n v="18055"/>
    <s v="Gayatri Devi"/>
    <s v="Uttam Prakash Pandey"/>
    <x v="0"/>
    <x v="0"/>
    <x v="223"/>
    <x v="9"/>
    <n v="4400"/>
    <n v="3800"/>
    <n v="600"/>
    <x v="0"/>
    <x v="10"/>
  </r>
  <r>
    <n v="140"/>
    <n v="18140"/>
    <s v="Nargish"/>
    <s v="Moh Ashfaq"/>
    <x v="0"/>
    <x v="0"/>
    <x v="223"/>
    <x v="9"/>
    <n v="4400"/>
    <n v="4000"/>
    <n v="400"/>
    <x v="0"/>
    <x v="9"/>
  </r>
  <r>
    <n v="56"/>
    <n v="18056"/>
    <s v="Suneel Kumar"/>
    <s v="Sujata Shendage"/>
    <x v="0"/>
    <x v="0"/>
    <x v="224"/>
    <x v="9"/>
    <n v="4400"/>
    <n v="3800"/>
    <n v="600"/>
    <x v="0"/>
    <x v="12"/>
  </r>
  <r>
    <n v="57"/>
    <n v="18057"/>
    <s v="Vineet Kumar"/>
    <s v="Mo. Shareef"/>
    <x v="1"/>
    <x v="0"/>
    <x v="224"/>
    <x v="9"/>
    <n v="4400"/>
    <n v="4400"/>
    <n v="0"/>
    <x v="1"/>
    <x v="13"/>
  </r>
  <r>
    <n v="924"/>
    <n v="18924"/>
    <s v="Anjali Mandal"/>
    <s v="Madan Lal Rana"/>
    <x v="1"/>
    <x v="0"/>
    <x v="224"/>
    <x v="9"/>
    <n v="4400"/>
    <n v="4400"/>
    <n v="0"/>
    <x v="1"/>
    <x v="1"/>
  </r>
  <r>
    <n v="58"/>
    <n v="18058"/>
    <s v="Apoorva Verma"/>
    <s v="Ramendra Kumar"/>
    <x v="0"/>
    <x v="0"/>
    <x v="225"/>
    <x v="9"/>
    <n v="4400"/>
    <n v="3800"/>
    <n v="600"/>
    <x v="0"/>
    <x v="6"/>
  </r>
  <r>
    <n v="98"/>
    <n v="18098"/>
    <s v="Shubham Kumar"/>
    <s v="Ganga Ram Yadav"/>
    <x v="0"/>
    <x v="0"/>
    <x v="225"/>
    <x v="9"/>
    <n v="4400"/>
    <n v="3800"/>
    <n v="600"/>
    <x v="0"/>
    <x v="1"/>
  </r>
  <r>
    <n v="908"/>
    <n v="18908"/>
    <s v="Ashutosh Kumar"/>
    <s v="Veeru"/>
    <x v="1"/>
    <x v="0"/>
    <x v="225"/>
    <x v="9"/>
    <n v="4400"/>
    <n v="500"/>
    <n v="3900"/>
    <x v="0"/>
    <x v="4"/>
  </r>
  <r>
    <n v="862"/>
    <n v="18862"/>
    <s v="Anchal Tiwari"/>
    <s v="Jawahar Lal Rana"/>
    <x v="0"/>
    <x v="0"/>
    <x v="226"/>
    <x v="9"/>
    <n v="4400"/>
    <n v="2800"/>
    <n v="1600"/>
    <x v="0"/>
    <x v="12"/>
  </r>
  <r>
    <n v="863"/>
    <n v="18863"/>
    <s v="Dhruv Kumar"/>
    <s v="Shyam Kishor Raj"/>
    <x v="0"/>
    <x v="0"/>
    <x v="226"/>
    <x v="9"/>
    <n v="4400"/>
    <n v="4400"/>
    <n v="0"/>
    <x v="1"/>
    <x v="13"/>
  </r>
  <r>
    <n v="925"/>
    <n v="18925"/>
    <s v="Shivam Verma"/>
    <s v="Mo Nasir"/>
    <x v="0"/>
    <x v="0"/>
    <x v="226"/>
    <x v="9"/>
    <n v="4400"/>
    <n v="4400"/>
    <n v="0"/>
    <x v="1"/>
    <x v="10"/>
  </r>
  <r>
    <n v="59"/>
    <n v="18059"/>
    <s v="Ashok Kumar"/>
    <s v="Birendra Kumar Pandey"/>
    <x v="1"/>
    <x v="0"/>
    <x v="227"/>
    <x v="9"/>
    <n v="4400"/>
    <n v="4000"/>
    <n v="400"/>
    <x v="0"/>
    <x v="12"/>
  </r>
  <r>
    <n v="60"/>
    <n v="18060"/>
    <s v="Irfan"/>
    <s v="Jai Prakash"/>
    <x v="1"/>
    <x v="0"/>
    <x v="227"/>
    <x v="9"/>
    <n v="4400"/>
    <n v="3800"/>
    <n v="600"/>
    <x v="0"/>
    <x v="12"/>
  </r>
  <r>
    <n v="698"/>
    <n v="18698"/>
    <s v="Shivam Kumar Rana"/>
    <s v="Nijamaudeen Siddiqi"/>
    <x v="1"/>
    <x v="0"/>
    <x v="227"/>
    <x v="9"/>
    <n v="4400"/>
    <n v="4000"/>
    <n v="400"/>
    <x v="0"/>
    <x v="3"/>
  </r>
  <r>
    <n v="826"/>
    <n v="18826"/>
    <s v="Ajeet Kumar Rajbhar"/>
    <s v="Jagtar Singh"/>
    <x v="0"/>
    <x v="4"/>
    <x v="228"/>
    <x v="9"/>
    <n v="1800"/>
    <n v="1400"/>
    <n v="400"/>
    <x v="0"/>
    <x v="9"/>
  </r>
  <r>
    <n v="864"/>
    <n v="18864"/>
    <s v="Pradeep Kumar Sahani"/>
    <s v="Mahesh Kumar"/>
    <x v="0"/>
    <x v="0"/>
    <x v="228"/>
    <x v="9"/>
    <n v="4400"/>
    <n v="3800"/>
    <n v="600"/>
    <x v="0"/>
    <x v="6"/>
  </r>
  <r>
    <n v="909"/>
    <n v="18909"/>
    <s v="Km Priyanka Maurya"/>
    <s v="Kamlesh Kumar Verma"/>
    <x v="0"/>
    <x v="2"/>
    <x v="228"/>
    <x v="9"/>
    <n v="3200"/>
    <n v="3200"/>
    <n v="0"/>
    <x v="1"/>
    <x v="5"/>
  </r>
  <r>
    <n v="468"/>
    <n v="18468"/>
    <s v="Anubhav Pandey"/>
    <s v="Mubarak Ali"/>
    <x v="0"/>
    <x v="0"/>
    <x v="229"/>
    <x v="9"/>
    <n v="4400"/>
    <n v="400"/>
    <n v="4000"/>
    <x v="0"/>
    <x v="11"/>
  </r>
  <r>
    <n v="469"/>
    <n v="18469"/>
    <s v="Anup Kumar Sharma"/>
    <s v="Shyam Narayan"/>
    <x v="1"/>
    <x v="1"/>
    <x v="229"/>
    <x v="9"/>
    <n v="5500"/>
    <n v="4900"/>
    <n v="600"/>
    <x v="0"/>
    <x v="15"/>
  </r>
  <r>
    <n v="470"/>
    <n v="18470"/>
    <s v="Sonali Singh"/>
    <s v="Raghunath Singh"/>
    <x v="0"/>
    <x v="0"/>
    <x v="229"/>
    <x v="9"/>
    <n v="4400"/>
    <n v="4400"/>
    <n v="0"/>
    <x v="1"/>
    <x v="15"/>
  </r>
  <r>
    <n v="171"/>
    <n v="18171"/>
    <s v="Anoop Mishra"/>
    <s v="Rajesh Chandra Srivastava"/>
    <x v="1"/>
    <x v="2"/>
    <x v="230"/>
    <x v="9"/>
    <n v="3200"/>
    <n v="3200"/>
    <n v="0"/>
    <x v="1"/>
    <x v="14"/>
  </r>
  <r>
    <n v="471"/>
    <n v="18471"/>
    <s v="Debajani Debadarsini"/>
    <s v="Sarvesh Kumar"/>
    <x v="1"/>
    <x v="0"/>
    <x v="230"/>
    <x v="9"/>
    <n v="4400"/>
    <n v="4400"/>
    <n v="0"/>
    <x v="1"/>
    <x v="11"/>
  </r>
  <r>
    <n v="745"/>
    <n v="18745"/>
    <s v="Moenuddin"/>
    <s v="Vijay Kumar"/>
    <x v="0"/>
    <x v="1"/>
    <x v="230"/>
    <x v="9"/>
    <n v="5500"/>
    <n v="4900"/>
    <n v="600"/>
    <x v="0"/>
    <x v="15"/>
  </r>
  <r>
    <n v="472"/>
    <n v="18472"/>
    <s v="Chandan Kumar"/>
    <s v="Ramakant"/>
    <x v="0"/>
    <x v="0"/>
    <x v="231"/>
    <x v="9"/>
    <n v="4400"/>
    <n v="3800"/>
    <n v="600"/>
    <x v="0"/>
    <x v="1"/>
  </r>
  <r>
    <n v="473"/>
    <n v="18473"/>
    <s v="Chandan Kumar"/>
    <s v="Vijay Bahadur"/>
    <x v="0"/>
    <x v="1"/>
    <x v="231"/>
    <x v="9"/>
    <n v="5500"/>
    <n v="5500"/>
    <n v="0"/>
    <x v="1"/>
    <x v="16"/>
  </r>
  <r>
    <n v="474"/>
    <n v="18474"/>
    <s v="Monu"/>
    <s v="Vijay Pal Singh"/>
    <x v="0"/>
    <x v="3"/>
    <x v="231"/>
    <x v="9"/>
    <n v="7500"/>
    <n v="7500"/>
    <n v="0"/>
    <x v="1"/>
    <x v="4"/>
  </r>
  <r>
    <n v="475"/>
    <n v="18475"/>
    <s v="Dhiraj Kumar"/>
    <s v="Shabahat Ali"/>
    <x v="0"/>
    <x v="1"/>
    <x v="232"/>
    <x v="9"/>
    <n v="5500"/>
    <n v="5500"/>
    <n v="0"/>
    <x v="1"/>
    <x v="5"/>
  </r>
  <r>
    <n v="746"/>
    <n v="18746"/>
    <s v="Satyansh Mishra"/>
    <s v="Umesh Pratap Singh"/>
    <x v="1"/>
    <x v="1"/>
    <x v="232"/>
    <x v="9"/>
    <n v="5500"/>
    <n v="800"/>
    <n v="4700"/>
    <x v="0"/>
    <x v="15"/>
  </r>
  <r>
    <n v="476"/>
    <n v="18476"/>
    <s v="Kuldeep Dubey"/>
    <s v="Khushi Ram"/>
    <x v="1"/>
    <x v="1"/>
    <x v="233"/>
    <x v="9"/>
    <n v="5500"/>
    <n v="5100"/>
    <n v="400"/>
    <x v="0"/>
    <x v="5"/>
  </r>
  <r>
    <n v="747"/>
    <n v="18747"/>
    <s v="Abhinav Mishra"/>
    <s v="Sunil Kumar"/>
    <x v="1"/>
    <x v="1"/>
    <x v="233"/>
    <x v="9"/>
    <n v="5500"/>
    <n v="5100"/>
    <n v="400"/>
    <x v="0"/>
    <x v="11"/>
  </r>
  <r>
    <n v="767"/>
    <n v="18767"/>
    <s v="Mohd.Adil"/>
    <s v="Radheshyam"/>
    <x v="0"/>
    <x v="1"/>
    <x v="233"/>
    <x v="9"/>
    <n v="5500"/>
    <n v="4900"/>
    <n v="600"/>
    <x v="0"/>
    <x v="1"/>
  </r>
  <r>
    <n v="477"/>
    <n v="18477"/>
    <s v="Balwant Kumar"/>
    <s v="Krishnapal"/>
    <x v="0"/>
    <x v="1"/>
    <x v="234"/>
    <x v="9"/>
    <n v="5500"/>
    <n v="5500"/>
    <n v="0"/>
    <x v="1"/>
    <x v="12"/>
  </r>
  <r>
    <n v="768"/>
    <n v="18768"/>
    <s v="Mahtab Alam"/>
    <s v="Gautam Vishwkarma"/>
    <x v="0"/>
    <x v="1"/>
    <x v="234"/>
    <x v="9"/>
    <n v="5500"/>
    <n v="5500"/>
    <n v="0"/>
    <x v="1"/>
    <x v="9"/>
  </r>
  <r>
    <n v="769"/>
    <n v="18769"/>
    <s v="Mohammad Zakir"/>
    <s v="Ram Lotan Maurya"/>
    <x v="0"/>
    <x v="1"/>
    <x v="234"/>
    <x v="9"/>
    <n v="5500"/>
    <n v="4900"/>
    <n v="600"/>
    <x v="0"/>
    <x v="14"/>
  </r>
  <r>
    <n v="478"/>
    <n v="18478"/>
    <s v="Balwant Kumar"/>
    <s v="Vinod Sharma"/>
    <x v="0"/>
    <x v="0"/>
    <x v="235"/>
    <x v="9"/>
    <n v="4400"/>
    <n v="3800"/>
    <n v="600"/>
    <x v="0"/>
    <x v="14"/>
  </r>
  <r>
    <n v="479"/>
    <n v="18479"/>
    <s v="Shivam Kashyap"/>
    <s v="Rajendra Yadav"/>
    <x v="1"/>
    <x v="0"/>
    <x v="235"/>
    <x v="9"/>
    <n v="4400"/>
    <n v="4400"/>
    <n v="0"/>
    <x v="1"/>
    <x v="2"/>
  </r>
  <r>
    <n v="770"/>
    <n v="18770"/>
    <s v="Shahanwaz Ansari"/>
    <s v="Harish Kumar"/>
    <x v="1"/>
    <x v="4"/>
    <x v="235"/>
    <x v="9"/>
    <n v="1800"/>
    <n v="1200"/>
    <n v="600"/>
    <x v="0"/>
    <x v="2"/>
  </r>
  <r>
    <n v="61"/>
    <n v="18061"/>
    <s v="Tanmay Ray"/>
    <s v="Ram Gopal"/>
    <x v="1"/>
    <x v="1"/>
    <x v="236"/>
    <x v="9"/>
    <n v="5500"/>
    <n v="5500"/>
    <n v="0"/>
    <x v="1"/>
    <x v="3"/>
  </r>
  <r>
    <n v="480"/>
    <n v="18480"/>
    <s v="Shaik Zahur Pasha"/>
    <s v="Sadik"/>
    <x v="0"/>
    <x v="0"/>
    <x v="236"/>
    <x v="9"/>
    <n v="4400"/>
    <n v="4400"/>
    <n v="0"/>
    <x v="1"/>
    <x v="16"/>
  </r>
  <r>
    <n v="771"/>
    <n v="18771"/>
    <s v="Km Tarannum"/>
    <s v="Merajuddin"/>
    <x v="0"/>
    <x v="1"/>
    <x v="236"/>
    <x v="9"/>
    <n v="5500"/>
    <n v="4900"/>
    <n v="600"/>
    <x v="0"/>
    <x v="3"/>
  </r>
  <r>
    <n v="481"/>
    <n v="18481"/>
    <s v="Vijay Pratap Yadav"/>
    <s v="Devraj"/>
    <x v="0"/>
    <x v="1"/>
    <x v="237"/>
    <x v="9"/>
    <n v="5500"/>
    <n v="5500"/>
    <n v="0"/>
    <x v="1"/>
    <x v="16"/>
  </r>
  <r>
    <n v="482"/>
    <n v="18482"/>
    <s v="Vijay Pratap Yadav"/>
    <s v="Radheshyam"/>
    <x v="0"/>
    <x v="0"/>
    <x v="237"/>
    <x v="9"/>
    <n v="4400"/>
    <n v="4400"/>
    <n v="0"/>
    <x v="1"/>
    <x v="7"/>
  </r>
  <r>
    <n v="699"/>
    <n v="18699"/>
    <s v="Vivek Kumar"/>
    <s v="Nand Kishor"/>
    <x v="0"/>
    <x v="1"/>
    <x v="237"/>
    <x v="9"/>
    <n v="5500"/>
    <n v="500"/>
    <n v="5000"/>
    <x v="0"/>
    <x v="4"/>
  </r>
  <r>
    <n v="483"/>
    <n v="18483"/>
    <s v="Bhalerao Snehal Vasant"/>
    <s v="Molhey"/>
    <x v="1"/>
    <x v="0"/>
    <x v="238"/>
    <x v="9"/>
    <n v="4400"/>
    <n v="4000"/>
    <n v="400"/>
    <x v="0"/>
    <x v="7"/>
  </r>
  <r>
    <n v="484"/>
    <n v="18484"/>
    <s v="Shaikh Mohin Sadik"/>
    <s v="Vasant Nivrutti Bhalerao"/>
    <x v="1"/>
    <x v="0"/>
    <x v="238"/>
    <x v="9"/>
    <n v="4400"/>
    <n v="4000"/>
    <n v="400"/>
    <x v="0"/>
    <x v="13"/>
  </r>
  <r>
    <n v="865"/>
    <n v="18865"/>
    <s v="Akash Kumar"/>
    <s v="Chhedi Lal"/>
    <x v="1"/>
    <x v="1"/>
    <x v="238"/>
    <x v="9"/>
    <n v="5500"/>
    <n v="5500"/>
    <n v="0"/>
    <x v="1"/>
    <x v="0"/>
  </r>
  <r>
    <n v="653"/>
    <n v="18653"/>
    <s v="Ajay Kumar"/>
    <s v="Sharda Prasad"/>
    <x v="0"/>
    <x v="3"/>
    <x v="239"/>
    <x v="9"/>
    <n v="7500"/>
    <n v="7500"/>
    <n v="0"/>
    <x v="1"/>
    <x v="3"/>
  </r>
  <r>
    <n v="700"/>
    <n v="18700"/>
    <s v="Ayush Kumar"/>
    <s v="Aun Kumar"/>
    <x v="0"/>
    <x v="0"/>
    <x v="239"/>
    <x v="9"/>
    <n v="4400"/>
    <n v="3800"/>
    <n v="600"/>
    <x v="0"/>
    <x v="5"/>
  </r>
  <r>
    <n v="866"/>
    <n v="18866"/>
    <s v="Anshika Shukla"/>
    <s v="Suresh Chandra"/>
    <x v="0"/>
    <x v="1"/>
    <x v="239"/>
    <x v="9"/>
    <n v="5500"/>
    <n v="5500"/>
    <n v="0"/>
    <x v="1"/>
    <x v="1"/>
  </r>
  <r>
    <n v="485"/>
    <n v="18485"/>
    <s v="Abhishek Pal"/>
    <s v="Anand Kumar Mishra"/>
    <x v="1"/>
    <x v="0"/>
    <x v="240"/>
    <x v="9"/>
    <n v="4400"/>
    <n v="3800"/>
    <n v="600"/>
    <x v="0"/>
    <x v="12"/>
  </r>
  <r>
    <n v="701"/>
    <n v="18701"/>
    <s v="Abhishek Upadhyay"/>
    <s v="Sahab Lal Rajak"/>
    <x v="0"/>
    <x v="1"/>
    <x v="240"/>
    <x v="9"/>
    <n v="5500"/>
    <n v="5100"/>
    <n v="400"/>
    <x v="0"/>
    <x v="6"/>
  </r>
  <r>
    <n v="702"/>
    <n v="18702"/>
    <s v="Ayush Kumar"/>
    <s v="Mohammad Kamran"/>
    <x v="0"/>
    <x v="1"/>
    <x v="240"/>
    <x v="9"/>
    <n v="5500"/>
    <n v="5100"/>
    <n v="400"/>
    <x v="0"/>
    <x v="7"/>
  </r>
  <r>
    <n v="486"/>
    <n v="18486"/>
    <s v="Akanksha Kumari Nischal"/>
    <s v="Gokul Prasad"/>
    <x v="1"/>
    <x v="0"/>
    <x v="241"/>
    <x v="9"/>
    <n v="4400"/>
    <n v="4400"/>
    <n v="0"/>
    <x v="1"/>
    <x v="0"/>
  </r>
  <r>
    <n v="703"/>
    <n v="18703"/>
    <s v="Surjeet Maurya"/>
    <s v="Pramod Mishra"/>
    <x v="1"/>
    <x v="1"/>
    <x v="241"/>
    <x v="9"/>
    <n v="5500"/>
    <n v="4900"/>
    <n v="600"/>
    <x v="0"/>
    <x v="8"/>
  </r>
  <r>
    <n v="748"/>
    <n v="18748"/>
    <s v="Abhay Raj"/>
    <s v="Ram Ji"/>
    <x v="0"/>
    <x v="1"/>
    <x v="241"/>
    <x v="9"/>
    <n v="5500"/>
    <n v="4900"/>
    <n v="600"/>
    <x v="0"/>
    <x v="1"/>
  </r>
  <r>
    <n v="487"/>
    <n v="18487"/>
    <s v="Abhishek Giri"/>
    <s v="Tribhuvan Singh"/>
    <x v="0"/>
    <x v="1"/>
    <x v="242"/>
    <x v="9"/>
    <n v="5500"/>
    <n v="600"/>
    <n v="4900"/>
    <x v="0"/>
    <x v="1"/>
  </r>
  <r>
    <n v="488"/>
    <n v="18488"/>
    <s v="Rahul Gupta"/>
    <s v="Pramod Kumar"/>
    <x v="0"/>
    <x v="1"/>
    <x v="242"/>
    <x v="9"/>
    <n v="5500"/>
    <n v="5500"/>
    <n v="0"/>
    <x v="1"/>
    <x v="2"/>
  </r>
  <r>
    <n v="704"/>
    <n v="18704"/>
    <s v="Ankush Verma"/>
    <s v="Lal Ji"/>
    <x v="0"/>
    <x v="1"/>
    <x v="242"/>
    <x v="9"/>
    <n v="5500"/>
    <n v="5500"/>
    <n v="0"/>
    <x v="1"/>
    <x v="9"/>
  </r>
  <r>
    <n v="489"/>
    <n v="18489"/>
    <s v="Cancel"/>
    <s v="Nizamuddin"/>
    <x v="0"/>
    <x v="0"/>
    <x v="243"/>
    <x v="9"/>
    <n v="4400"/>
    <n v="4400"/>
    <n v="0"/>
    <x v="1"/>
    <x v="3"/>
  </r>
  <r>
    <n v="705"/>
    <n v="18705"/>
    <s v="Saroj Kumar"/>
    <s v="Ganesh Sahani"/>
    <x v="1"/>
    <x v="1"/>
    <x v="243"/>
    <x v="9"/>
    <n v="5500"/>
    <n v="4900"/>
    <n v="600"/>
    <x v="0"/>
    <x v="4"/>
  </r>
  <r>
    <n v="867"/>
    <n v="18867"/>
    <s v="Jarman Singh"/>
    <s v="Mahadev Prasad"/>
    <x v="1"/>
    <x v="0"/>
    <x v="243"/>
    <x v="9"/>
    <n v="4400"/>
    <n v="4400"/>
    <n v="0"/>
    <x v="1"/>
    <x v="9"/>
  </r>
  <r>
    <n v="490"/>
    <n v="18490"/>
    <s v="Govind Yadav"/>
    <s v="Ashraf Ali"/>
    <x v="0"/>
    <x v="1"/>
    <x v="244"/>
    <x v="9"/>
    <n v="5500"/>
    <n v="4900"/>
    <n v="600"/>
    <x v="0"/>
    <x v="4"/>
  </r>
  <r>
    <n v="868"/>
    <n v="18868"/>
    <s v="Chanpreet Singh"/>
    <s v="Deshraj Verma"/>
    <x v="0"/>
    <x v="0"/>
    <x v="244"/>
    <x v="9"/>
    <n v="4400"/>
    <n v="3800"/>
    <n v="600"/>
    <x v="0"/>
    <x v="14"/>
  </r>
  <r>
    <n v="869"/>
    <n v="18869"/>
    <s v="Lovepreet Singh"/>
    <s v="Bachha Babu"/>
    <x v="1"/>
    <x v="0"/>
    <x v="244"/>
    <x v="9"/>
    <n v="4400"/>
    <n v="3800"/>
    <n v="600"/>
    <x v="0"/>
    <x v="2"/>
  </r>
  <r>
    <n v="491"/>
    <n v="18491"/>
    <s v="Pirzada Hidayat Ullah Shah"/>
    <s v="Basant"/>
    <x v="0"/>
    <x v="0"/>
    <x v="245"/>
    <x v="9"/>
    <n v="4400"/>
    <n v="4400"/>
    <n v="0"/>
    <x v="1"/>
    <x v="5"/>
  </r>
  <r>
    <n v="706"/>
    <n v="18706"/>
    <s v="Ashish Kumar"/>
    <s v="Awadhram Mishra"/>
    <x v="0"/>
    <x v="1"/>
    <x v="245"/>
    <x v="9"/>
    <n v="5500"/>
    <n v="5500"/>
    <n v="0"/>
    <x v="1"/>
    <x v="5"/>
  </r>
  <r>
    <n v="707"/>
    <n v="18707"/>
    <s v="Kutbudeen"/>
    <s v="Swami Saran"/>
    <x v="0"/>
    <x v="1"/>
    <x v="245"/>
    <x v="9"/>
    <n v="5500"/>
    <n v="5500"/>
    <n v="0"/>
    <x v="1"/>
    <x v="0"/>
  </r>
  <r>
    <n v="492"/>
    <n v="18492"/>
    <s v="Km Naina Garg"/>
    <s v="Vinod Singh"/>
    <x v="1"/>
    <x v="0"/>
    <x v="246"/>
    <x v="9"/>
    <n v="4400"/>
    <n v="4400"/>
    <n v="0"/>
    <x v="1"/>
    <x v="6"/>
  </r>
  <r>
    <n v="493"/>
    <n v="18493"/>
    <s v="Manash Jyoti Gowala"/>
    <s v="Someshwar Datt"/>
    <x v="1"/>
    <x v="0"/>
    <x v="246"/>
    <x v="9"/>
    <n v="4400"/>
    <n v="4400"/>
    <n v="0"/>
    <x v="1"/>
    <x v="7"/>
  </r>
  <r>
    <n v="772"/>
    <n v="18772"/>
    <s v="Rajan Sahani"/>
    <s v="Kodi Lal"/>
    <x v="1"/>
    <x v="3"/>
    <x v="246"/>
    <x v="9"/>
    <n v="7500"/>
    <n v="1500"/>
    <n v="6000"/>
    <x v="0"/>
    <x v="10"/>
  </r>
  <r>
    <n v="494"/>
    <n v="18494"/>
    <s v="Rohit Kumar"/>
    <s v="Abdul Gani Khan"/>
    <x v="0"/>
    <x v="1"/>
    <x v="247"/>
    <x v="9"/>
    <n v="5500"/>
    <n v="5500"/>
    <n v="0"/>
    <x v="1"/>
    <x v="8"/>
  </r>
  <r>
    <n v="708"/>
    <n v="18708"/>
    <s v="Priyanshi Mishra"/>
    <s v="Sushil Kumar"/>
    <x v="0"/>
    <x v="1"/>
    <x v="247"/>
    <x v="9"/>
    <n v="5500"/>
    <n v="5100"/>
    <n v="400"/>
    <x v="0"/>
    <x v="10"/>
  </r>
  <r>
    <n v="773"/>
    <n v="18773"/>
    <s v="Wahi Duzzman"/>
    <s v="Ram Bahadur"/>
    <x v="0"/>
    <x v="0"/>
    <x v="247"/>
    <x v="9"/>
    <n v="4400"/>
    <n v="4000"/>
    <n v="400"/>
    <x v="0"/>
    <x v="12"/>
  </r>
  <r>
    <n v="495"/>
    <n v="18495"/>
    <s v="Md Nousher Ansari"/>
    <s v="Ram Murti"/>
    <x v="0"/>
    <x v="0"/>
    <x v="248"/>
    <x v="10"/>
    <n v="4400"/>
    <n v="4000"/>
    <n v="400"/>
    <x v="0"/>
    <x v="9"/>
  </r>
  <r>
    <n v="709"/>
    <n v="18709"/>
    <s v="Anureet Kaur"/>
    <s v="Mohan Lal"/>
    <x v="0"/>
    <x v="3"/>
    <x v="248"/>
    <x v="10"/>
    <n v="7500"/>
    <n v="7100"/>
    <n v="400"/>
    <x v="0"/>
    <x v="11"/>
  </r>
  <r>
    <n v="710"/>
    <n v="18710"/>
    <s v="Tanureet Kaur"/>
    <s v="Ram Pal"/>
    <x v="1"/>
    <x v="3"/>
    <x v="248"/>
    <x v="10"/>
    <n v="7500"/>
    <n v="400"/>
    <n v="7100"/>
    <x v="0"/>
    <x v="15"/>
  </r>
  <r>
    <n v="711"/>
    <n v="18711"/>
    <s v="Abhishek Kumar"/>
    <s v="Ramesh Chandra Shukla"/>
    <x v="1"/>
    <x v="0"/>
    <x v="249"/>
    <x v="10"/>
    <n v="4400"/>
    <n v="3800"/>
    <n v="600"/>
    <x v="0"/>
    <x v="11"/>
  </r>
  <r>
    <n v="712"/>
    <n v="18712"/>
    <s v="Dileep Kumar"/>
    <s v="Anis Ansari"/>
    <x v="0"/>
    <x v="0"/>
    <x v="249"/>
    <x v="10"/>
    <n v="4400"/>
    <n v="3800"/>
    <n v="600"/>
    <x v="0"/>
    <x v="15"/>
  </r>
  <r>
    <n v="713"/>
    <n v="18713"/>
    <s v="Navdeep Singh"/>
    <s v="Sarvesh Srivastava"/>
    <x v="1"/>
    <x v="3"/>
    <x v="249"/>
    <x v="10"/>
    <n v="7500"/>
    <n v="6900"/>
    <n v="600"/>
    <x v="0"/>
    <x v="15"/>
  </r>
  <r>
    <n v="496"/>
    <n v="18496"/>
    <s v="Nimisha Kumari"/>
    <s v="Raj Bahadur"/>
    <x v="0"/>
    <x v="0"/>
    <x v="250"/>
    <x v="10"/>
    <n v="4400"/>
    <n v="4400"/>
    <n v="0"/>
    <x v="1"/>
    <x v="4"/>
  </r>
  <r>
    <n v="497"/>
    <n v="18497"/>
    <s v="Ronit Gupta"/>
    <s v="Vijay Bahadur Singh Chauhan"/>
    <x v="0"/>
    <x v="0"/>
    <x v="250"/>
    <x v="10"/>
    <n v="4400"/>
    <n v="4400"/>
    <n v="0"/>
    <x v="1"/>
    <x v="5"/>
  </r>
  <r>
    <n v="498"/>
    <n v="18498"/>
    <s v="Vaseem"/>
    <s v="Azad Ali"/>
    <x v="0"/>
    <x v="0"/>
    <x v="250"/>
    <x v="10"/>
    <n v="4400"/>
    <n v="4400"/>
    <n v="0"/>
    <x v="1"/>
    <x v="0"/>
  </r>
  <r>
    <n v="499"/>
    <n v="18499"/>
    <s v="Amar Chaudhary"/>
    <s v="Nand Kishor"/>
    <x v="1"/>
    <x v="1"/>
    <x v="251"/>
    <x v="10"/>
    <n v="5500"/>
    <n v="4900"/>
    <n v="600"/>
    <x v="0"/>
    <x v="10"/>
  </r>
  <r>
    <n v="500"/>
    <n v="18500"/>
    <s v="Krishna Kumar Chauhan"/>
    <s v="Ram Prasad"/>
    <x v="0"/>
    <x v="1"/>
    <x v="251"/>
    <x v="10"/>
    <n v="5500"/>
    <n v="5100"/>
    <n v="400"/>
    <x v="0"/>
    <x v="11"/>
  </r>
  <r>
    <n v="714"/>
    <n v="18714"/>
    <s v="Mangal Singh"/>
    <s v="Vimlesh Kumar"/>
    <x v="1"/>
    <x v="1"/>
    <x v="251"/>
    <x v="10"/>
    <n v="5500"/>
    <n v="4900"/>
    <n v="600"/>
    <x v="0"/>
    <x v="11"/>
  </r>
  <r>
    <n v="501"/>
    <n v="18501"/>
    <s v="Arun Kumar"/>
    <s v="Keshavram Chaurasiya"/>
    <x v="1"/>
    <x v="0"/>
    <x v="252"/>
    <x v="10"/>
    <n v="4400"/>
    <n v="3800"/>
    <n v="600"/>
    <x v="0"/>
    <x v="15"/>
  </r>
  <r>
    <n v="502"/>
    <n v="18502"/>
    <s v="Bijender Singh Yadav"/>
    <s v="Mahesh Kumar Mishra"/>
    <x v="0"/>
    <x v="0"/>
    <x v="252"/>
    <x v="10"/>
    <n v="4400"/>
    <n v="3800"/>
    <n v="600"/>
    <x v="0"/>
    <x v="11"/>
  </r>
  <r>
    <n v="503"/>
    <n v="18503"/>
    <s v="Sayan Bala"/>
    <s v="Mohammad Jabir"/>
    <x v="0"/>
    <x v="0"/>
    <x v="252"/>
    <x v="10"/>
    <n v="4400"/>
    <n v="4400"/>
    <n v="0"/>
    <x v="1"/>
    <x v="15"/>
  </r>
  <r>
    <n v="504"/>
    <n v="18504"/>
    <s v="Avishake Deb"/>
    <s v="Harishchandra"/>
    <x v="0"/>
    <x v="0"/>
    <x v="253"/>
    <x v="10"/>
    <n v="4400"/>
    <n v="4400"/>
    <n v="0"/>
    <x v="1"/>
    <x v="15"/>
  </r>
  <r>
    <n v="505"/>
    <n v="18505"/>
    <s v="Nitish Yadav"/>
    <s v="Virendra Katiyar"/>
    <x v="0"/>
    <x v="1"/>
    <x v="253"/>
    <x v="10"/>
    <n v="5500"/>
    <n v="4500"/>
    <n v="1000"/>
    <x v="0"/>
    <x v="11"/>
  </r>
  <r>
    <n v="506"/>
    <n v="18506"/>
    <s v="Sayan Bala"/>
    <s v="Mohd Rafik"/>
    <x v="0"/>
    <x v="1"/>
    <x v="253"/>
    <x v="10"/>
    <n v="5500"/>
    <n v="5500"/>
    <n v="0"/>
    <x v="1"/>
    <x v="1"/>
  </r>
  <r>
    <n v="507"/>
    <n v="18507"/>
    <s v="Madan Kumar"/>
    <s v="Ramchandra"/>
    <x v="1"/>
    <x v="1"/>
    <x v="254"/>
    <x v="10"/>
    <n v="5500"/>
    <n v="5500"/>
    <n v="0"/>
    <x v="1"/>
    <x v="16"/>
  </r>
  <r>
    <n v="508"/>
    <n v="18508"/>
    <s v="Soumitra Mandal"/>
    <s v="Anoop Kumar Verma"/>
    <x v="1"/>
    <x v="0"/>
    <x v="254"/>
    <x v="10"/>
    <n v="4400"/>
    <n v="4400"/>
    <n v="0"/>
    <x v="1"/>
    <x v="4"/>
  </r>
  <r>
    <n v="715"/>
    <n v="18715"/>
    <s v="Misauddin"/>
    <s v="Moti Lal"/>
    <x v="1"/>
    <x v="1"/>
    <x v="254"/>
    <x v="10"/>
    <n v="5500"/>
    <n v="4900"/>
    <n v="600"/>
    <x v="0"/>
    <x v="1"/>
  </r>
  <r>
    <n v="509"/>
    <n v="18509"/>
    <s v="Manthan"/>
    <s v="Anuj Mishra"/>
    <x v="0"/>
    <x v="0"/>
    <x v="255"/>
    <x v="10"/>
    <n v="4400"/>
    <n v="4000"/>
    <n v="400"/>
    <x v="0"/>
    <x v="5"/>
  </r>
  <r>
    <n v="510"/>
    <n v="18510"/>
    <s v="Saurabh Kushwaha"/>
    <s v="Ram Dulare"/>
    <x v="0"/>
    <x v="1"/>
    <x v="255"/>
    <x v="10"/>
    <n v="5500"/>
    <n v="5500"/>
    <n v="0"/>
    <x v="1"/>
    <x v="5"/>
  </r>
  <r>
    <n v="716"/>
    <n v="18716"/>
    <s v="Omkar Giri"/>
    <s v="Sunil Gupta"/>
    <x v="0"/>
    <x v="1"/>
    <x v="255"/>
    <x v="10"/>
    <n v="5500"/>
    <n v="4900"/>
    <n v="600"/>
    <x v="0"/>
    <x v="16"/>
  </r>
  <r>
    <n v="511"/>
    <n v="18511"/>
    <s v="Vinod Kumar Yadav"/>
    <s v="Rajendra Kumar"/>
    <x v="0"/>
    <x v="0"/>
    <x v="256"/>
    <x v="10"/>
    <n v="4400"/>
    <n v="4000"/>
    <n v="400"/>
    <x v="0"/>
    <x v="12"/>
  </r>
  <r>
    <n v="717"/>
    <n v="18717"/>
    <s v="Som Prakash Yadav"/>
    <s v="Ashim Kumar Biswas"/>
    <x v="0"/>
    <x v="1"/>
    <x v="256"/>
    <x v="10"/>
    <n v="5500"/>
    <n v="5500"/>
    <n v="0"/>
    <x v="1"/>
    <x v="4"/>
  </r>
  <r>
    <n v="870"/>
    <n v="18870"/>
    <s v="Manees Rathore"/>
    <s v="Premchandra"/>
    <x v="1"/>
    <x v="1"/>
    <x v="256"/>
    <x v="10"/>
    <n v="5500"/>
    <n v="2600"/>
    <n v="2900"/>
    <x v="0"/>
    <x v="3"/>
  </r>
  <r>
    <n v="512"/>
    <n v="18512"/>
    <s v="Alissa Silveira"/>
    <s v="Vijay Bahadur Singh Chauhan"/>
    <x v="1"/>
    <x v="0"/>
    <x v="257"/>
    <x v="10"/>
    <n v="4400"/>
    <n v="3800"/>
    <n v="600"/>
    <x v="0"/>
    <x v="14"/>
  </r>
  <r>
    <n v="718"/>
    <n v="18718"/>
    <s v="Romal Verma"/>
    <s v="Zaib Singh"/>
    <x v="0"/>
    <x v="1"/>
    <x v="257"/>
    <x v="10"/>
    <n v="5500"/>
    <n v="5100"/>
    <n v="400"/>
    <x v="0"/>
    <x v="5"/>
  </r>
  <r>
    <n v="871"/>
    <n v="18871"/>
    <s v="Ayush Mishra"/>
    <s v="Ram Singh"/>
    <x v="1"/>
    <x v="5"/>
    <x v="257"/>
    <x v="10"/>
    <n v="2200"/>
    <n v="1600"/>
    <n v="600"/>
    <x v="0"/>
    <x v="10"/>
  </r>
  <r>
    <n v="513"/>
    <n v="18513"/>
    <s v="Alissa Silveira"/>
    <s v="Surjeet Singh"/>
    <x v="0"/>
    <x v="1"/>
    <x v="258"/>
    <x v="10"/>
    <n v="5500"/>
    <n v="5100"/>
    <n v="400"/>
    <x v="0"/>
    <x v="2"/>
  </r>
  <r>
    <n v="514"/>
    <n v="18514"/>
    <s v="Surbhi Akanksha"/>
    <s v="Jagdish Prasad"/>
    <x v="0"/>
    <x v="1"/>
    <x v="258"/>
    <x v="10"/>
    <n v="5500"/>
    <n v="4900"/>
    <n v="600"/>
    <x v="0"/>
    <x v="16"/>
  </r>
  <r>
    <n v="654"/>
    <n v="18654"/>
    <s v="Km Ankita Sharma"/>
    <s v="Prabhu Pratap Singh"/>
    <x v="0"/>
    <x v="1"/>
    <x v="258"/>
    <x v="10"/>
    <n v="5500"/>
    <n v="4900"/>
    <n v="600"/>
    <x v="0"/>
    <x v="10"/>
  </r>
  <r>
    <n v="515"/>
    <n v="18515"/>
    <s v="Jagatpal Gope"/>
    <s v="Rajneesh Shukla"/>
    <x v="0"/>
    <x v="1"/>
    <x v="259"/>
    <x v="10"/>
    <n v="5500"/>
    <n v="5500"/>
    <n v="0"/>
    <x v="1"/>
    <x v="16"/>
  </r>
  <r>
    <n v="516"/>
    <n v="18516"/>
    <s v="Sandhya Kumari"/>
    <s v="Bahadur"/>
    <x v="1"/>
    <x v="0"/>
    <x v="259"/>
    <x v="10"/>
    <n v="4400"/>
    <n v="3800"/>
    <n v="600"/>
    <x v="0"/>
    <x v="7"/>
  </r>
  <r>
    <n v="517"/>
    <n v="18517"/>
    <s v="Sandhya Kumari"/>
    <s v="Mahabeer"/>
    <x v="1"/>
    <x v="1"/>
    <x v="259"/>
    <x v="10"/>
    <n v="5500"/>
    <n v="5500"/>
    <n v="0"/>
    <x v="1"/>
    <x v="7"/>
  </r>
  <r>
    <n v="518"/>
    <n v="18518"/>
    <s v="Atanu Biswas"/>
    <s v="Avadh Ram"/>
    <x v="1"/>
    <x v="0"/>
    <x v="260"/>
    <x v="10"/>
    <n v="4400"/>
    <n v="4400"/>
    <n v="0"/>
    <x v="1"/>
    <x v="13"/>
  </r>
  <r>
    <n v="519"/>
    <n v="18519"/>
    <s v="Nikita Bajaj"/>
    <s v="Kamal Kumar Mishra"/>
    <x v="0"/>
    <x v="0"/>
    <x v="260"/>
    <x v="10"/>
    <n v="4400"/>
    <n v="4400"/>
    <n v="0"/>
    <x v="1"/>
    <x v="3"/>
  </r>
  <r>
    <n v="719"/>
    <n v="18719"/>
    <s v="Romal Verma"/>
    <s v="Dharmendra Kumar"/>
    <x v="0"/>
    <x v="0"/>
    <x v="260"/>
    <x v="10"/>
    <n v="4400"/>
    <n v="4400"/>
    <n v="0"/>
    <x v="1"/>
    <x v="5"/>
  </r>
  <r>
    <n v="520"/>
    <n v="18520"/>
    <s v="Sonam Kumari"/>
    <s v="Suresh Pal Singh"/>
    <x v="0"/>
    <x v="0"/>
    <x v="261"/>
    <x v="10"/>
    <n v="4400"/>
    <n v="3800"/>
    <n v="600"/>
    <x v="0"/>
    <x v="10"/>
  </r>
  <r>
    <n v="749"/>
    <n v="18749"/>
    <s v="Anuj Kumar Bajpai"/>
    <s v="Mohd Naeem"/>
    <x v="0"/>
    <x v="1"/>
    <x v="261"/>
    <x v="10"/>
    <n v="5500"/>
    <n v="5500"/>
    <n v="0"/>
    <x v="1"/>
    <x v="16"/>
  </r>
  <r>
    <n v="872"/>
    <n v="18872"/>
    <s v="Alka Singh"/>
    <s v="Anil Kumar"/>
    <x v="0"/>
    <x v="3"/>
    <x v="261"/>
    <x v="10"/>
    <n v="7500"/>
    <n v="7500"/>
    <n v="0"/>
    <x v="1"/>
    <x v="3"/>
  </r>
  <r>
    <n v="521"/>
    <n v="18521"/>
    <s v="Jatin Singh"/>
    <s v="Ranjeet Giri"/>
    <x v="1"/>
    <x v="0"/>
    <x v="262"/>
    <x v="10"/>
    <n v="4400"/>
    <n v="3800"/>
    <n v="600"/>
    <x v="0"/>
    <x v="12"/>
  </r>
  <r>
    <n v="522"/>
    <n v="18522"/>
    <s v="Pawandeep Kaur"/>
    <s v="Jogendra Singh"/>
    <x v="1"/>
    <x v="0"/>
    <x v="262"/>
    <x v="10"/>
    <n v="4400"/>
    <n v="4400"/>
    <n v="0"/>
    <x v="1"/>
    <x v="13"/>
  </r>
  <r>
    <n v="720"/>
    <n v="18720"/>
    <s v="Ayush Mishra"/>
    <s v="Subhash Singh"/>
    <x v="1"/>
    <x v="1"/>
    <x v="262"/>
    <x v="10"/>
    <n v="5500"/>
    <n v="4900"/>
    <n v="600"/>
    <x v="0"/>
    <x v="12"/>
  </r>
  <r>
    <n v="523"/>
    <n v="18523"/>
    <s v="Ajit Kumar"/>
    <s v="Ram Pal"/>
    <x v="0"/>
    <x v="1"/>
    <x v="263"/>
    <x v="10"/>
    <n v="5500"/>
    <n v="4900"/>
    <n v="600"/>
    <x v="0"/>
    <x v="6"/>
  </r>
  <r>
    <n v="721"/>
    <n v="18721"/>
    <s v="Omkar"/>
    <s v="Ram Kishan Verma"/>
    <x v="0"/>
    <x v="1"/>
    <x v="263"/>
    <x v="10"/>
    <n v="5500"/>
    <n v="5500"/>
    <n v="0"/>
    <x v="1"/>
    <x v="14"/>
  </r>
  <r>
    <n v="722"/>
    <n v="18722"/>
    <s v="Subhash Kumar"/>
    <s v="Jagannath Yadav"/>
    <x v="0"/>
    <x v="3"/>
    <x v="263"/>
    <x v="10"/>
    <n v="7500"/>
    <n v="7500"/>
    <n v="0"/>
    <x v="1"/>
    <x v="2"/>
  </r>
  <r>
    <n v="723"/>
    <n v="18723"/>
    <s v="Jitin Shukla"/>
    <s v="Sunder Lal"/>
    <x v="1"/>
    <x v="0"/>
    <x v="264"/>
    <x v="10"/>
    <n v="4400"/>
    <n v="4400"/>
    <n v="0"/>
    <x v="1"/>
    <x v="16"/>
  </r>
  <r>
    <n v="724"/>
    <n v="18724"/>
    <s v="Rakesh Yadav"/>
    <s v="Umadatt"/>
    <x v="0"/>
    <x v="1"/>
    <x v="264"/>
    <x v="10"/>
    <n v="5500"/>
    <n v="5500"/>
    <n v="0"/>
    <x v="1"/>
    <x v="16"/>
  </r>
  <r>
    <n v="873"/>
    <n v="18873"/>
    <s v="Sanjay Kumar"/>
    <s v="Uttam Kumar Nag"/>
    <x v="0"/>
    <x v="1"/>
    <x v="264"/>
    <x v="10"/>
    <n v="5500"/>
    <n v="5500"/>
    <n v="0"/>
    <x v="1"/>
    <x v="10"/>
  </r>
  <r>
    <n v="524"/>
    <n v="18524"/>
    <s v="Sakib Sultan"/>
    <s v="Heera Lal"/>
    <x v="0"/>
    <x v="0"/>
    <x v="265"/>
    <x v="10"/>
    <n v="4400"/>
    <n v="4400"/>
    <n v="0"/>
    <x v="1"/>
    <x v="0"/>
  </r>
  <r>
    <n v="725"/>
    <n v="18725"/>
    <s v="Ashwani Kumar Singh"/>
    <s v="Ikbal Hushain"/>
    <x v="1"/>
    <x v="1"/>
    <x v="265"/>
    <x v="10"/>
    <n v="5500"/>
    <n v="5100"/>
    <n v="400"/>
    <x v="0"/>
    <x v="7"/>
  </r>
  <r>
    <n v="726"/>
    <n v="18726"/>
    <s v="Jitin Shukla"/>
    <s v="Manoj Kumar"/>
    <x v="1"/>
    <x v="4"/>
    <x v="265"/>
    <x v="10"/>
    <n v="1800"/>
    <n v="1200"/>
    <n v="600"/>
    <x v="0"/>
    <x v="7"/>
  </r>
  <r>
    <n v="525"/>
    <n v="18525"/>
    <s v="Neha Lahari"/>
    <s v="Rajesh Singh"/>
    <x v="0"/>
    <x v="0"/>
    <x v="266"/>
    <x v="10"/>
    <n v="4400"/>
    <n v="3800"/>
    <n v="600"/>
    <x v="0"/>
    <x v="1"/>
  </r>
  <r>
    <n v="727"/>
    <n v="18727"/>
    <s v="Km Madhur Shukla"/>
    <s v="Mahendra Kumar Verma"/>
    <x v="0"/>
    <x v="1"/>
    <x v="266"/>
    <x v="10"/>
    <n v="5500"/>
    <n v="5100"/>
    <n v="400"/>
    <x v="0"/>
    <x v="13"/>
  </r>
  <r>
    <n v="728"/>
    <n v="18728"/>
    <s v="Suraj Singh"/>
    <s v="Nand Kumar"/>
    <x v="0"/>
    <x v="1"/>
    <x v="266"/>
    <x v="10"/>
    <n v="5500"/>
    <n v="500"/>
    <n v="5000"/>
    <x v="0"/>
    <x v="0"/>
  </r>
  <r>
    <n v="526"/>
    <n v="18526"/>
    <s v="Vijay Bahadur"/>
    <s v="Riyazuddin Ansari"/>
    <x v="0"/>
    <x v="0"/>
    <x v="267"/>
    <x v="10"/>
    <n v="4400"/>
    <n v="3800"/>
    <n v="600"/>
    <x v="0"/>
    <x v="9"/>
  </r>
  <r>
    <n v="910"/>
    <n v="18910"/>
    <s v="Mohammad Shahid Khan"/>
    <s v="Vishram Lal"/>
    <x v="1"/>
    <x v="5"/>
    <x v="267"/>
    <x v="10"/>
    <n v="2200"/>
    <n v="900"/>
    <n v="1300"/>
    <x v="0"/>
    <x v="6"/>
  </r>
  <r>
    <n v="911"/>
    <n v="18911"/>
    <s v="Mosahariyar"/>
    <s v="Suresh Kumar"/>
    <x v="1"/>
    <x v="5"/>
    <x v="267"/>
    <x v="10"/>
    <n v="2200"/>
    <n v="1600"/>
    <n v="600"/>
    <x v="0"/>
    <x v="7"/>
  </r>
  <r>
    <n v="729"/>
    <n v="18729"/>
    <s v="Nagendra Kumar"/>
    <s v="Ramesh Kumar"/>
    <x v="0"/>
    <x v="1"/>
    <x v="268"/>
    <x v="10"/>
    <n v="5500"/>
    <n v="4900"/>
    <n v="600"/>
    <x v="0"/>
    <x v="1"/>
  </r>
  <r>
    <n v="912"/>
    <n v="18912"/>
    <s v="Amreesh Kumar"/>
    <s v="Tauleram"/>
    <x v="1"/>
    <x v="5"/>
    <x v="268"/>
    <x v="10"/>
    <n v="2200"/>
    <n v="2200"/>
    <n v="0"/>
    <x v="1"/>
    <x v="8"/>
  </r>
  <r>
    <n v="913"/>
    <n v="18913"/>
    <s v="Ashutosh Kumar"/>
    <s v="Shailesh Kumar"/>
    <x v="0"/>
    <x v="5"/>
    <x v="268"/>
    <x v="10"/>
    <n v="2200"/>
    <n v="2200"/>
    <n v="0"/>
    <x v="1"/>
    <x v="9"/>
  </r>
  <r>
    <n v="527"/>
    <n v="18527"/>
    <s v="Ankit Kumar Singh"/>
    <s v="Jagtar Singh"/>
    <x v="0"/>
    <x v="0"/>
    <x v="269"/>
    <x v="10"/>
    <n v="4400"/>
    <n v="4400"/>
    <n v="0"/>
    <x v="1"/>
    <x v="14"/>
  </r>
  <r>
    <n v="528"/>
    <n v="18528"/>
    <s v="Shendage Sharvari Pandurang"/>
    <s v="Avinash Kumar"/>
    <x v="0"/>
    <x v="0"/>
    <x v="269"/>
    <x v="10"/>
    <n v="4400"/>
    <n v="4400"/>
    <n v="0"/>
    <x v="1"/>
    <x v="2"/>
  </r>
  <r>
    <n v="730"/>
    <n v="18730"/>
    <s v="Hareram"/>
    <s v="Manoj Nigam"/>
    <x v="0"/>
    <x v="1"/>
    <x v="269"/>
    <x v="10"/>
    <n v="5500"/>
    <n v="5500"/>
    <n v="0"/>
    <x v="1"/>
    <x v="2"/>
  </r>
  <r>
    <n v="529"/>
    <n v="18529"/>
    <s v="Amit Kumar Soni"/>
    <s v="Tejkaran"/>
    <x v="1"/>
    <x v="1"/>
    <x v="270"/>
    <x v="10"/>
    <n v="5500"/>
    <n v="5500"/>
    <n v="0"/>
    <x v="1"/>
    <x v="3"/>
  </r>
  <r>
    <n v="530"/>
    <n v="18530"/>
    <s v="Ankit Saini"/>
    <s v="Kamal Kishor"/>
    <x v="1"/>
    <x v="1"/>
    <x v="270"/>
    <x v="10"/>
    <n v="5500"/>
    <n v="4900"/>
    <n v="600"/>
    <x v="0"/>
    <x v="10"/>
  </r>
  <r>
    <n v="750"/>
    <n v="18750"/>
    <s v="Uma Prakash"/>
    <s v="Jagtar Singh"/>
    <x v="1"/>
    <x v="1"/>
    <x v="270"/>
    <x v="10"/>
    <n v="5500"/>
    <n v="5500"/>
    <n v="0"/>
    <x v="1"/>
    <x v="4"/>
  </r>
  <r>
    <n v="531"/>
    <n v="18531"/>
    <s v="Ritesh Kumar"/>
    <s v="Nausad Ali"/>
    <x v="0"/>
    <x v="0"/>
    <x v="271"/>
    <x v="10"/>
    <n v="4400"/>
    <n v="4400"/>
    <n v="0"/>
    <x v="1"/>
    <x v="12"/>
  </r>
  <r>
    <n v="731"/>
    <n v="18731"/>
    <s v="Km Nirjala Singh"/>
    <s v="Hemendra Kumar Srivastava"/>
    <x v="0"/>
    <x v="1"/>
    <x v="271"/>
    <x v="10"/>
    <n v="5500"/>
    <n v="5500"/>
    <n v="0"/>
    <x v="1"/>
    <x v="3"/>
  </r>
  <r>
    <n v="732"/>
    <n v="18732"/>
    <s v="Sanjeev Chaurasiya"/>
    <s v="Rajendra Kumar"/>
    <x v="0"/>
    <x v="1"/>
    <x v="271"/>
    <x v="10"/>
    <n v="5500"/>
    <n v="4900"/>
    <n v="600"/>
    <x v="0"/>
    <x v="4"/>
  </r>
  <r>
    <n v="733"/>
    <n v="18733"/>
    <s v="Aditya Singh"/>
    <s v="Santosh Nishad"/>
    <x v="0"/>
    <x v="1"/>
    <x v="272"/>
    <x v="10"/>
    <n v="5500"/>
    <n v="5500"/>
    <n v="0"/>
    <x v="1"/>
    <x v="5"/>
  </r>
  <r>
    <n v="734"/>
    <n v="18734"/>
    <s v="Km Bandana Singh"/>
    <s v="Rakesh Kumar"/>
    <x v="0"/>
    <x v="1"/>
    <x v="272"/>
    <x v="10"/>
    <n v="5500"/>
    <n v="5500"/>
    <n v="0"/>
    <x v="1"/>
    <x v="6"/>
  </r>
  <r>
    <n v="751"/>
    <n v="18751"/>
    <s v="Sanoj Kumar Rajbhar"/>
    <s v="Ravendra Kumar"/>
    <x v="1"/>
    <x v="4"/>
    <x v="272"/>
    <x v="10"/>
    <n v="1800"/>
    <n v="1800"/>
    <n v="0"/>
    <x v="1"/>
    <x v="5"/>
  </r>
  <r>
    <n v="735"/>
    <n v="18735"/>
    <s v="Ram Naresh"/>
    <s v="Ikram Ali"/>
    <x v="0"/>
    <x v="1"/>
    <x v="273"/>
    <x v="10"/>
    <n v="5500"/>
    <n v="5100"/>
    <n v="400"/>
    <x v="0"/>
    <x v="7"/>
  </r>
  <r>
    <n v="736"/>
    <n v="18736"/>
    <s v="Uttam Kumar"/>
    <s v="Yadunath Singh"/>
    <x v="1"/>
    <x v="1"/>
    <x v="273"/>
    <x v="10"/>
    <n v="5500"/>
    <n v="5100"/>
    <n v="400"/>
    <x v="0"/>
    <x v="8"/>
  </r>
  <r>
    <n v="752"/>
    <n v="18752"/>
    <s v="Uma Prakash"/>
    <s v="Uttam Kumar Nag"/>
    <x v="1"/>
    <x v="3"/>
    <x v="273"/>
    <x v="10"/>
    <n v="7500"/>
    <n v="7500"/>
    <n v="0"/>
    <x v="1"/>
    <x v="5"/>
  </r>
  <r>
    <n v="655"/>
    <n v="18655"/>
    <s v="Ramji Mishra"/>
    <s v="Rajaram"/>
    <x v="0"/>
    <x v="1"/>
    <x v="274"/>
    <x v="11"/>
    <n v="5500"/>
    <n v="4900"/>
    <n v="600"/>
    <x v="0"/>
    <x v="10"/>
  </r>
  <r>
    <n v="656"/>
    <n v="18656"/>
    <s v="Sandeep Kumar"/>
    <s v="Bhairav Singh"/>
    <x v="0"/>
    <x v="1"/>
    <x v="274"/>
    <x v="11"/>
    <n v="5500"/>
    <n v="4900"/>
    <n v="600"/>
    <x v="0"/>
    <x v="14"/>
  </r>
  <r>
    <n v="737"/>
    <n v="18737"/>
    <s v="Sudhanshu Tiwari"/>
    <s v="Ajay Singh"/>
    <x v="0"/>
    <x v="1"/>
    <x v="274"/>
    <x v="11"/>
    <n v="5500"/>
    <n v="5500"/>
    <n v="0"/>
    <x v="1"/>
    <x v="9"/>
  </r>
  <r>
    <n v="532"/>
    <n v="18532"/>
    <s v="Deepak Kumar"/>
    <s v="Mobin Ahmad"/>
    <x v="1"/>
    <x v="5"/>
    <x v="275"/>
    <x v="11"/>
    <n v="2200"/>
    <n v="300"/>
    <n v="1900"/>
    <x v="0"/>
    <x v="13"/>
  </r>
  <r>
    <n v="738"/>
    <n v="18738"/>
    <s v="Dileep Kumar"/>
    <s v="Mohammad Nafish Khan"/>
    <x v="0"/>
    <x v="1"/>
    <x v="275"/>
    <x v="11"/>
    <n v="5500"/>
    <n v="5500"/>
    <n v="0"/>
    <x v="1"/>
    <x v="4"/>
  </r>
  <r>
    <n v="739"/>
    <n v="18739"/>
    <s v="Santosh Kumar Rajpoot"/>
    <s v="Sanjay Tiwari"/>
    <x v="1"/>
    <x v="1"/>
    <x v="275"/>
    <x v="11"/>
    <n v="5500"/>
    <n v="5500"/>
    <n v="0"/>
    <x v="1"/>
    <x v="5"/>
  </r>
  <r>
    <n v="533"/>
    <n v="18533"/>
    <s v="Janardan Pal"/>
    <s v="Yogendra Verma"/>
    <x v="1"/>
    <x v="5"/>
    <x v="276"/>
    <x v="11"/>
    <n v="2200"/>
    <n v="1600"/>
    <n v="600"/>
    <x v="0"/>
    <x v="6"/>
  </r>
  <r>
    <n v="534"/>
    <n v="18534"/>
    <s v="Kamlesh"/>
    <s v="Mohd Amanullah"/>
    <x v="0"/>
    <x v="5"/>
    <x v="276"/>
    <x v="11"/>
    <n v="2200"/>
    <n v="2200"/>
    <n v="0"/>
    <x v="1"/>
    <x v="0"/>
  </r>
  <r>
    <n v="535"/>
    <n v="18535"/>
    <s v="Suraj Kumar Tiwari"/>
    <s v="Gyanchand Yadav"/>
    <x v="0"/>
    <x v="5"/>
    <x v="276"/>
    <x v="11"/>
    <n v="2200"/>
    <n v="2200"/>
    <n v="0"/>
    <x v="1"/>
    <x v="1"/>
  </r>
  <r>
    <n v="536"/>
    <n v="18536"/>
    <s v="Ajay Kumar"/>
    <s v="Ram Kumar"/>
    <x v="0"/>
    <x v="5"/>
    <x v="277"/>
    <x v="11"/>
    <n v="2200"/>
    <n v="2200"/>
    <n v="0"/>
    <x v="1"/>
    <x v="9"/>
  </r>
  <r>
    <n v="537"/>
    <n v="18537"/>
    <s v="Pallavi Devi"/>
    <s v="Abhilesh Kumar"/>
    <x v="0"/>
    <x v="5"/>
    <x v="277"/>
    <x v="11"/>
    <n v="2200"/>
    <n v="1800"/>
    <n v="400"/>
    <x v="0"/>
    <x v="14"/>
  </r>
  <r>
    <n v="538"/>
    <n v="18538"/>
    <s v="Umesh Kumar"/>
    <s v="Ramjan"/>
    <x v="0"/>
    <x v="5"/>
    <x v="277"/>
    <x v="11"/>
    <n v="2200"/>
    <n v="1800"/>
    <n v="400"/>
    <x v="0"/>
    <x v="2"/>
  </r>
  <r>
    <n v="539"/>
    <n v="18539"/>
    <s v="Abhishek"/>
    <s v="Moharram"/>
    <x v="1"/>
    <x v="5"/>
    <x v="278"/>
    <x v="11"/>
    <n v="2200"/>
    <n v="1600"/>
    <n v="600"/>
    <x v="0"/>
    <x v="3"/>
  </r>
  <r>
    <n v="540"/>
    <n v="18540"/>
    <s v="Gayatri Devi"/>
    <s v="Dhurav Kumar"/>
    <x v="1"/>
    <x v="5"/>
    <x v="278"/>
    <x v="11"/>
    <n v="2200"/>
    <n v="2200"/>
    <n v="0"/>
    <x v="1"/>
    <x v="10"/>
  </r>
  <r>
    <n v="541"/>
    <n v="18541"/>
    <s v="Sanjay Kumar"/>
    <s v="Anilprasad Singh"/>
    <x v="1"/>
    <x v="5"/>
    <x v="278"/>
    <x v="11"/>
    <n v="2200"/>
    <n v="1600"/>
    <n v="600"/>
    <x v="0"/>
    <x v="12"/>
  </r>
  <r>
    <n v="542"/>
    <n v="18542"/>
    <s v="Apoorva Verma"/>
    <s v="Rakesh Gupta"/>
    <x v="0"/>
    <x v="5"/>
    <x v="279"/>
    <x v="11"/>
    <n v="2200"/>
    <n v="1600"/>
    <n v="600"/>
    <x v="0"/>
    <x v="13"/>
  </r>
  <r>
    <n v="543"/>
    <n v="18543"/>
    <s v="Suneel Kumar"/>
    <s v="Chhote Lal"/>
    <x v="0"/>
    <x v="5"/>
    <x v="279"/>
    <x v="11"/>
    <n v="2200"/>
    <n v="2200"/>
    <n v="0"/>
    <x v="1"/>
    <x v="6"/>
  </r>
  <r>
    <n v="544"/>
    <n v="18544"/>
    <s v="Vineet Kumar"/>
    <s v="Ajay Kumar"/>
    <x v="0"/>
    <x v="5"/>
    <x v="279"/>
    <x v="11"/>
    <n v="2200"/>
    <n v="2200"/>
    <n v="0"/>
    <x v="1"/>
    <x v="12"/>
  </r>
  <r>
    <n v="545"/>
    <n v="18545"/>
    <s v="Ashok Kumar"/>
    <s v="Rajendra Singh"/>
    <x v="0"/>
    <x v="5"/>
    <x v="280"/>
    <x v="11"/>
    <n v="2200"/>
    <n v="1600"/>
    <n v="600"/>
    <x v="0"/>
    <x v="12"/>
  </r>
  <r>
    <n v="546"/>
    <n v="18546"/>
    <s v="Ashwani Kumar Verma"/>
    <s v="Mohan Swaroop"/>
    <x v="1"/>
    <x v="5"/>
    <x v="280"/>
    <x v="11"/>
    <n v="2200"/>
    <n v="2200"/>
    <n v="0"/>
    <x v="1"/>
    <x v="3"/>
  </r>
  <r>
    <n v="547"/>
    <n v="18547"/>
    <s v="Irfan"/>
    <s v="Chandra Shekhar Verma"/>
    <x v="0"/>
    <x v="5"/>
    <x v="280"/>
    <x v="11"/>
    <n v="2200"/>
    <n v="2200"/>
    <n v="0"/>
    <x v="1"/>
    <x v="10"/>
  </r>
  <r>
    <n v="548"/>
    <n v="18548"/>
    <s v="Aditya Kumar"/>
    <s v="Visheshwar Dayal"/>
    <x v="1"/>
    <x v="5"/>
    <x v="281"/>
    <x v="11"/>
    <n v="2200"/>
    <n v="1800"/>
    <n v="400"/>
    <x v="0"/>
    <x v="3"/>
  </r>
  <r>
    <n v="549"/>
    <n v="18549"/>
    <s v="Anuj Kumar"/>
    <s v="Uttam Verma"/>
    <x v="0"/>
    <x v="5"/>
    <x v="281"/>
    <x v="11"/>
    <n v="2200"/>
    <n v="1800"/>
    <n v="400"/>
    <x v="0"/>
    <x v="10"/>
  </r>
  <r>
    <n v="550"/>
    <n v="18550"/>
    <s v="Shubham Kumar"/>
    <s v="Ram Chandra Yadav"/>
    <x v="1"/>
    <x v="5"/>
    <x v="281"/>
    <x v="11"/>
    <n v="2200"/>
    <n v="2200"/>
    <n v="0"/>
    <x v="1"/>
    <x v="12"/>
  </r>
  <r>
    <n v="551"/>
    <n v="18551"/>
    <s v="Anoop Kumar"/>
    <s v="Sunil Kashyap"/>
    <x v="0"/>
    <x v="5"/>
    <x v="282"/>
    <x v="11"/>
    <n v="2200"/>
    <n v="1600"/>
    <n v="600"/>
    <x v="0"/>
    <x v="13"/>
  </r>
  <r>
    <n v="552"/>
    <n v="18552"/>
    <s v="Sachin Kumar"/>
    <s v="Ramkailash"/>
    <x v="0"/>
    <x v="5"/>
    <x v="282"/>
    <x v="11"/>
    <n v="2200"/>
    <n v="2200"/>
    <n v="0"/>
    <x v="1"/>
    <x v="6"/>
  </r>
  <r>
    <n v="553"/>
    <n v="18553"/>
    <s v="Umesh Kumar Rana"/>
    <s v="Shailendra Kumar"/>
    <x v="0"/>
    <x v="5"/>
    <x v="282"/>
    <x v="11"/>
    <n v="2200"/>
    <n v="1600"/>
    <n v="600"/>
    <x v="0"/>
    <x v="0"/>
  </r>
  <r>
    <n v="554"/>
    <n v="18554"/>
    <s v="Lav Kumar"/>
    <s v="Kanhaiya Lal"/>
    <x v="1"/>
    <x v="5"/>
    <x v="283"/>
    <x v="11"/>
    <n v="2200"/>
    <n v="100"/>
    <n v="2100"/>
    <x v="0"/>
    <x v="1"/>
  </r>
  <r>
    <n v="555"/>
    <n v="18555"/>
    <s v="Nujhat Khatoon"/>
    <s v="Sunil Kumar Verma"/>
    <x v="1"/>
    <x v="5"/>
    <x v="283"/>
    <x v="11"/>
    <n v="2200"/>
    <n v="2200"/>
    <n v="0"/>
    <x v="1"/>
    <x v="9"/>
  </r>
  <r>
    <n v="556"/>
    <n v="18556"/>
    <s v="Rubi Singh"/>
    <s v="Azamuddeen"/>
    <x v="0"/>
    <x v="5"/>
    <x v="283"/>
    <x v="11"/>
    <n v="2200"/>
    <n v="2200"/>
    <n v="0"/>
    <x v="1"/>
    <x v="14"/>
  </r>
  <r>
    <n v="557"/>
    <n v="18557"/>
    <s v="Mohammad Yasir"/>
    <s v="Vijendra Kumar"/>
    <x v="1"/>
    <x v="5"/>
    <x v="284"/>
    <x v="11"/>
    <n v="2200"/>
    <n v="1600"/>
    <n v="600"/>
    <x v="0"/>
    <x v="2"/>
  </r>
  <r>
    <n v="558"/>
    <n v="18558"/>
    <s v="Vijay Kumar"/>
    <s v="Azamuddeen"/>
    <x v="0"/>
    <x v="5"/>
    <x v="284"/>
    <x v="11"/>
    <n v="2200"/>
    <n v="2200"/>
    <n v="0"/>
    <x v="1"/>
    <x v="3"/>
  </r>
  <r>
    <n v="559"/>
    <n v="18559"/>
    <s v="Zubaida Khatoon"/>
    <s v="Gyan Chandra Pandey"/>
    <x v="0"/>
    <x v="5"/>
    <x v="284"/>
    <x v="11"/>
    <n v="2200"/>
    <n v="2200"/>
    <n v="0"/>
    <x v="1"/>
    <x v="10"/>
  </r>
  <r>
    <n v="560"/>
    <n v="18560"/>
    <s v="Anjali Singh"/>
    <s v="Ameen Ahmad"/>
    <x v="0"/>
    <x v="5"/>
    <x v="285"/>
    <x v="11"/>
    <n v="2200"/>
    <n v="1800"/>
    <n v="400"/>
    <x v="0"/>
    <x v="12"/>
  </r>
  <r>
    <n v="561"/>
    <n v="18561"/>
    <s v="Mohd Asib Khan"/>
    <s v="Darbari Lal"/>
    <x v="0"/>
    <x v="5"/>
    <x v="285"/>
    <x v="11"/>
    <n v="2200"/>
    <n v="2200"/>
    <n v="0"/>
    <x v="1"/>
    <x v="13"/>
  </r>
  <r>
    <n v="562"/>
    <n v="18562"/>
    <s v="Neha Verma"/>
    <s v="Pramod Kumar"/>
    <x v="0"/>
    <x v="5"/>
    <x v="285"/>
    <x v="11"/>
    <n v="2200"/>
    <n v="1800"/>
    <n v="400"/>
    <x v="0"/>
    <x v="6"/>
  </r>
  <r>
    <n v="563"/>
    <n v="18563"/>
    <s v="Azara Bano"/>
    <s v="Surendra Kumar"/>
    <x v="1"/>
    <x v="5"/>
    <x v="286"/>
    <x v="11"/>
    <n v="2200"/>
    <n v="1600"/>
    <n v="600"/>
    <x v="0"/>
    <x v="0"/>
  </r>
  <r>
    <n v="564"/>
    <n v="18564"/>
    <s v="Muskan"/>
    <s v="Sunil Kumar"/>
    <x v="1"/>
    <x v="5"/>
    <x v="286"/>
    <x v="11"/>
    <n v="2200"/>
    <n v="2200"/>
    <n v="0"/>
    <x v="1"/>
    <x v="1"/>
  </r>
  <r>
    <n v="565"/>
    <n v="18565"/>
    <s v="Vivek Kumar Verma"/>
    <s v="Babu Ram"/>
    <x v="1"/>
    <x v="5"/>
    <x v="286"/>
    <x v="11"/>
    <n v="2200"/>
    <n v="1600"/>
    <n v="600"/>
    <x v="0"/>
    <x v="9"/>
  </r>
  <r>
    <n v="566"/>
    <n v="18566"/>
    <s v="Akash Kumar"/>
    <s v="Nausad Ali"/>
    <x v="0"/>
    <x v="5"/>
    <x v="287"/>
    <x v="11"/>
    <n v="2200"/>
    <n v="1600"/>
    <n v="600"/>
    <x v="0"/>
    <x v="14"/>
  </r>
  <r>
    <n v="567"/>
    <n v="18567"/>
    <s v="Jooli"/>
    <s v="Kuldeep"/>
    <x v="0"/>
    <x v="5"/>
    <x v="287"/>
    <x v="11"/>
    <n v="2200"/>
    <n v="2200"/>
    <n v="0"/>
    <x v="1"/>
    <x v="2"/>
  </r>
  <r>
    <n v="568"/>
    <n v="18568"/>
    <s v="Rahnuma Anzum"/>
    <s v="Bhanu Pratap Verma"/>
    <x v="0"/>
    <x v="5"/>
    <x v="287"/>
    <x v="11"/>
    <n v="2200"/>
    <n v="2200"/>
    <n v="0"/>
    <x v="1"/>
    <x v="3"/>
  </r>
  <r>
    <n v="569"/>
    <n v="18569"/>
    <s v="Elma"/>
    <s v="Vikku"/>
    <x v="1"/>
    <x v="5"/>
    <x v="288"/>
    <x v="11"/>
    <n v="2200"/>
    <n v="2200"/>
    <n v="0"/>
    <x v="1"/>
    <x v="10"/>
  </r>
  <r>
    <n v="570"/>
    <n v="18570"/>
    <s v="Ravi Kumar"/>
    <s v="Ramjan"/>
    <x v="0"/>
    <x v="5"/>
    <x v="288"/>
    <x v="11"/>
    <n v="2200"/>
    <n v="1600"/>
    <n v="600"/>
    <x v="0"/>
    <x v="12"/>
  </r>
  <r>
    <n v="571"/>
    <n v="18571"/>
    <s v="Rekha Singh"/>
    <s v="Saty Narayan"/>
    <x v="0"/>
    <x v="5"/>
    <x v="288"/>
    <x v="11"/>
    <n v="2200"/>
    <n v="2200"/>
    <n v="0"/>
    <x v="1"/>
    <x v="13"/>
  </r>
  <r>
    <n v="572"/>
    <n v="18572"/>
    <s v="Arpit Mishra"/>
    <s v="Shailesh Kumar Mishra"/>
    <x v="1"/>
    <x v="5"/>
    <x v="289"/>
    <x v="11"/>
    <n v="2200"/>
    <n v="1800"/>
    <n v="400"/>
    <x v="0"/>
    <x v="6"/>
  </r>
  <r>
    <n v="573"/>
    <n v="18573"/>
    <s v="Mahira Begum"/>
    <s v="Nattharam"/>
    <x v="1"/>
    <x v="5"/>
    <x v="289"/>
    <x v="11"/>
    <n v="2200"/>
    <n v="2200"/>
    <n v="0"/>
    <x v="1"/>
    <x v="12"/>
  </r>
  <r>
    <n v="574"/>
    <n v="18574"/>
    <s v="Nargish"/>
    <s v="Krishnanand Yadav"/>
    <x v="0"/>
    <x v="5"/>
    <x v="289"/>
    <x v="11"/>
    <n v="2200"/>
    <n v="1800"/>
    <n v="400"/>
    <x v="0"/>
    <x v="12"/>
  </r>
  <r>
    <n v="575"/>
    <n v="18575"/>
    <s v="Ashish Kumar"/>
    <s v="Ayub Ali"/>
    <x v="0"/>
    <x v="5"/>
    <x v="290"/>
    <x v="11"/>
    <n v="2200"/>
    <n v="1600"/>
    <n v="600"/>
    <x v="0"/>
    <x v="3"/>
  </r>
  <r>
    <n v="576"/>
    <n v="18576"/>
    <s v="Nirmal Singh"/>
    <s v="Mangal Prasad Tiwari"/>
    <x v="0"/>
    <x v="5"/>
    <x v="290"/>
    <x v="11"/>
    <n v="2200"/>
    <n v="1600"/>
    <n v="600"/>
    <x v="0"/>
    <x v="10"/>
  </r>
  <r>
    <n v="577"/>
    <n v="18577"/>
    <s v="Sonu Yadav"/>
    <s v="Ram Prakash Rana"/>
    <x v="0"/>
    <x v="5"/>
    <x v="290"/>
    <x v="11"/>
    <n v="2200"/>
    <n v="2200"/>
    <n v="0"/>
    <x v="1"/>
    <x v="3"/>
  </r>
  <r>
    <n v="578"/>
    <n v="18578"/>
    <s v="Civil Katiyar"/>
    <s v="Kaushal Kishor"/>
    <x v="1"/>
    <x v="5"/>
    <x v="291"/>
    <x v="11"/>
    <n v="2200"/>
    <n v="1200"/>
    <n v="1000"/>
    <x v="0"/>
    <x v="10"/>
  </r>
  <r>
    <n v="579"/>
    <n v="18579"/>
    <s v="Mo. Sameer"/>
    <s v="Atul Kumar Gupta"/>
    <x v="0"/>
    <x v="5"/>
    <x v="291"/>
    <x v="11"/>
    <n v="2200"/>
    <n v="2200"/>
    <n v="0"/>
    <x v="1"/>
    <x v="12"/>
  </r>
  <r>
    <n v="580"/>
    <n v="18580"/>
    <s v="Vivek Kumar"/>
    <s v="Anilprasad Singh"/>
    <x v="1"/>
    <x v="5"/>
    <x v="291"/>
    <x v="11"/>
    <n v="2200"/>
    <n v="2200"/>
    <n v="0"/>
    <x v="1"/>
    <x v="13"/>
  </r>
  <r>
    <n v="581"/>
    <n v="18581"/>
    <s v="Kamal Kumar"/>
    <s v="Ram Krapal"/>
    <x v="1"/>
    <x v="5"/>
    <x v="292"/>
    <x v="11"/>
    <n v="2200"/>
    <n v="1600"/>
    <n v="600"/>
    <x v="0"/>
    <x v="6"/>
  </r>
  <r>
    <n v="582"/>
    <n v="18582"/>
    <s v="Shagun Awasthi"/>
    <s v="Shaik Afsara Ahmed"/>
    <x v="0"/>
    <x v="5"/>
    <x v="292"/>
    <x v="11"/>
    <n v="2200"/>
    <n v="2200"/>
    <n v="0"/>
    <x v="1"/>
    <x v="0"/>
  </r>
  <r>
    <n v="583"/>
    <n v="18583"/>
    <s v="Shlok Saxena"/>
    <s v="Lakshman Chauhan"/>
    <x v="0"/>
    <x v="5"/>
    <x v="292"/>
    <x v="11"/>
    <n v="2200"/>
    <n v="2200"/>
    <n v="0"/>
    <x v="1"/>
    <x v="1"/>
  </r>
  <r>
    <n v="584"/>
    <n v="18584"/>
    <s v="Aakash Singh"/>
    <s v="Najakat Khan"/>
    <x v="0"/>
    <x v="5"/>
    <x v="293"/>
    <x v="11"/>
    <n v="2200"/>
    <n v="2200"/>
    <n v="0"/>
    <x v="1"/>
    <x v="9"/>
  </r>
  <r>
    <n v="585"/>
    <n v="18585"/>
    <s v="Amit Kumar"/>
    <s v="Bhairav Singh"/>
    <x v="0"/>
    <x v="5"/>
    <x v="293"/>
    <x v="11"/>
    <n v="2200"/>
    <n v="1800"/>
    <n v="400"/>
    <x v="0"/>
    <x v="14"/>
  </r>
  <r>
    <n v="586"/>
    <n v="18586"/>
    <s v="Mohd Laraib Nadeem Khan"/>
    <s v="Mani Ram"/>
    <x v="0"/>
    <x v="5"/>
    <x v="293"/>
    <x v="11"/>
    <n v="2200"/>
    <n v="1800"/>
    <n v="400"/>
    <x v="0"/>
    <x v="2"/>
  </r>
  <r>
    <n v="587"/>
    <n v="18587"/>
    <s v="Anchal Tiwari"/>
    <s v="Rajendra Kumar"/>
    <x v="1"/>
    <x v="5"/>
    <x v="294"/>
    <x v="11"/>
    <n v="2200"/>
    <n v="1600"/>
    <n v="600"/>
    <x v="0"/>
    <x v="3"/>
  </r>
  <r>
    <n v="588"/>
    <n v="18588"/>
    <s v="Dhruv Kumar"/>
    <s v="Niraj Singh"/>
    <x v="1"/>
    <x v="5"/>
    <x v="294"/>
    <x v="11"/>
    <n v="2200"/>
    <n v="1600"/>
    <n v="600"/>
    <x v="0"/>
    <x v="10"/>
  </r>
  <r>
    <n v="589"/>
    <n v="18589"/>
    <s v="Pradeep Kumar Sahani"/>
    <s v="Ram Khelavan"/>
    <x v="1"/>
    <x v="5"/>
    <x v="294"/>
    <x v="11"/>
    <n v="2200"/>
    <n v="2200"/>
    <n v="0"/>
    <x v="1"/>
    <x v="12"/>
  </r>
  <r>
    <n v="590"/>
    <n v="18590"/>
    <s v="Mamta Jaiswal"/>
    <s v="Amit Kumar Mishra"/>
    <x v="0"/>
    <x v="5"/>
    <x v="295"/>
    <x v="11"/>
    <n v="2200"/>
    <n v="2200"/>
    <n v="0"/>
    <x v="1"/>
    <x v="13"/>
  </r>
  <r>
    <n v="591"/>
    <n v="18591"/>
    <s v="Mosahariyar"/>
    <s v="Sanjay Kumar"/>
    <x v="0"/>
    <x v="5"/>
    <x v="295"/>
    <x v="11"/>
    <n v="2200"/>
    <n v="1600"/>
    <n v="600"/>
    <x v="0"/>
    <x v="6"/>
  </r>
  <r>
    <n v="592"/>
    <n v="18592"/>
    <s v="Shivam Kumar Rana"/>
    <s v="Lavkush"/>
    <x v="0"/>
    <x v="5"/>
    <x v="295"/>
    <x v="11"/>
    <n v="2200"/>
    <n v="2200"/>
    <n v="0"/>
    <x v="1"/>
    <x v="0"/>
  </r>
  <r>
    <n v="593"/>
    <n v="18593"/>
    <s v="Amreesh Kumar"/>
    <s v="Saty Narayan"/>
    <x v="0"/>
    <x v="5"/>
    <x v="296"/>
    <x v="11"/>
    <n v="2200"/>
    <n v="2200"/>
    <n v="0"/>
    <x v="1"/>
    <x v="1"/>
  </r>
  <r>
    <n v="594"/>
    <n v="18594"/>
    <s v="Ashutosh Kumar"/>
    <s v="Brijesh Verma"/>
    <x v="1"/>
    <x v="5"/>
    <x v="296"/>
    <x v="11"/>
    <n v="2200"/>
    <n v="2200"/>
    <n v="0"/>
    <x v="1"/>
    <x v="9"/>
  </r>
  <r>
    <n v="595"/>
    <n v="18595"/>
    <s v="Mohammad Shahid Khan"/>
    <s v="Kamta Prasad Verma"/>
    <x v="0"/>
    <x v="5"/>
    <x v="296"/>
    <x v="11"/>
    <n v="2200"/>
    <n v="1600"/>
    <n v="600"/>
    <x v="0"/>
    <x v="14"/>
  </r>
  <r>
    <n v="596"/>
    <n v="18596"/>
    <s v="Ajay Kumar"/>
    <s v="Krishna Kumar Verma"/>
    <x v="1"/>
    <x v="5"/>
    <x v="297"/>
    <x v="11"/>
    <n v="2200"/>
    <n v="1800"/>
    <n v="400"/>
    <x v="0"/>
    <x v="2"/>
  </r>
  <r>
    <n v="597"/>
    <n v="18597"/>
    <s v="Arpit Jaiswal"/>
    <s v="Dinesh Chandra Shrivastava"/>
    <x v="0"/>
    <x v="5"/>
    <x v="297"/>
    <x v="11"/>
    <n v="2200"/>
    <n v="1800"/>
    <n v="400"/>
    <x v="0"/>
    <x v="3"/>
  </r>
  <r>
    <n v="598"/>
    <n v="18598"/>
    <s v="Manoj Kumar"/>
    <s v="Lakhpati Ram"/>
    <x v="1"/>
    <x v="5"/>
    <x v="297"/>
    <x v="11"/>
    <n v="2200"/>
    <n v="2200"/>
    <n v="0"/>
    <x v="1"/>
    <x v="10"/>
  </r>
  <r>
    <n v="599"/>
    <n v="18599"/>
    <s v="Anjali Mandal"/>
    <s v="Ram Khelawan"/>
    <x v="0"/>
    <x v="5"/>
    <x v="298"/>
    <x v="11"/>
    <n v="2200"/>
    <n v="1600"/>
    <n v="600"/>
    <x v="0"/>
    <x v="12"/>
  </r>
  <r>
    <n v="600"/>
    <n v="18600"/>
    <s v="Ram Pravesh"/>
    <s v="Jakir Husain"/>
    <x v="0"/>
    <x v="5"/>
    <x v="298"/>
    <x v="11"/>
    <n v="2200"/>
    <n v="1600"/>
    <n v="600"/>
    <x v="0"/>
    <x v="13"/>
  </r>
  <r>
    <n v="601"/>
    <n v="18601"/>
    <s v="Shivam Verma"/>
    <s v="Ram Chandra"/>
    <x v="0"/>
    <x v="5"/>
    <x v="298"/>
    <x v="11"/>
    <n v="2200"/>
    <n v="2200"/>
    <n v="0"/>
    <x v="1"/>
    <x v="6"/>
  </r>
  <r>
    <n v="602"/>
    <n v="18602"/>
    <s v="Ashok Kumar"/>
    <s v="Neeraj Kumar"/>
    <x v="1"/>
    <x v="1"/>
    <x v="299"/>
    <x v="11"/>
    <n v="5500"/>
    <n v="2500"/>
    <n v="3000"/>
    <x v="0"/>
    <x v="12"/>
  </r>
  <r>
    <n v="603"/>
    <n v="18603"/>
    <s v="Nitin Singh"/>
    <s v="Maheshpal"/>
    <x v="0"/>
    <x v="0"/>
    <x v="299"/>
    <x v="11"/>
    <n v="4400"/>
    <n v="3800"/>
    <n v="600"/>
    <x v="0"/>
    <x v="12"/>
  </r>
  <r>
    <n v="604"/>
    <n v="18604"/>
    <s v="Som Prakash Yadav"/>
    <s v="Yogender Bajaj"/>
    <x v="0"/>
    <x v="5"/>
    <x v="299"/>
    <x v="11"/>
    <n v="2200"/>
    <n v="2200"/>
    <n v="0"/>
    <x v="1"/>
    <x v="3"/>
  </r>
  <r>
    <n v="740"/>
    <n v="18740"/>
    <s v="Dheerendra Kumar"/>
    <s v="Harinam"/>
    <x v="0"/>
    <x v="1"/>
    <x v="299"/>
    <x v="11"/>
    <n v="5500"/>
    <n v="5500"/>
    <n v="0"/>
    <x v="1"/>
    <x v="0"/>
  </r>
  <r>
    <n v="741"/>
    <n v="18741"/>
    <s v="Mithlesh Kumar"/>
    <s v="Jay Ram"/>
    <x v="0"/>
    <x v="1"/>
    <x v="299"/>
    <x v="11"/>
    <n v="5500"/>
    <n v="5500"/>
    <n v="0"/>
    <x v="1"/>
    <x v="10"/>
  </r>
  <r>
    <n v="742"/>
    <n v="18742"/>
    <s v="Shyam Singh Rana"/>
    <s v="Jagatpal Gope"/>
    <x v="1"/>
    <x v="1"/>
    <x v="299"/>
    <x v="11"/>
    <n v="5500"/>
    <n v="4900"/>
    <n v="600"/>
    <x v="0"/>
    <x v="11"/>
  </r>
  <r>
    <n v="743"/>
    <n v="18743"/>
    <s v="Subhashini"/>
    <s v="Shiv Om Shukla"/>
    <x v="0"/>
    <x v="1"/>
    <x v="299"/>
    <x v="11"/>
    <n v="5500"/>
    <n v="4900"/>
    <n v="600"/>
    <x v="0"/>
    <x v="15"/>
  </r>
  <r>
    <n v="744"/>
    <n v="18744"/>
    <s v="Vaidik Srivastava"/>
    <s v="Abdul Gani Khan"/>
    <x v="0"/>
    <x v="1"/>
    <x v="299"/>
    <x v="11"/>
    <n v="5500"/>
    <n v="5500"/>
    <n v="0"/>
    <x v="1"/>
    <x v="11"/>
  </r>
  <r>
    <n v="874"/>
    <n v="18874"/>
    <s v="Richanshoo Jaiswal"/>
    <s v="Krishna Kumar Verma"/>
    <x v="1"/>
    <x v="2"/>
    <x v="299"/>
    <x v="11"/>
    <n v="3200"/>
    <n v="2600"/>
    <n v="600"/>
    <x v="0"/>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55C34B-98E2-7B4D-AABF-C099C11ACBE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2:B35" firstHeaderRow="1" firstDataRow="1" firstDataCol="1"/>
  <pivotFields count="15">
    <pivotField showAll="0"/>
    <pivotField dataField="1" showAll="0"/>
    <pivotField showAll="0"/>
    <pivotField showAll="0"/>
    <pivotField showAll="0">
      <items count="3">
        <item x="1"/>
        <item x="0"/>
        <item t="default"/>
      </items>
    </pivotField>
    <pivotField showAll="0">
      <items count="7">
        <item x="0"/>
        <item x="1"/>
        <item x="3"/>
        <item x="5"/>
        <item x="2"/>
        <item x="4"/>
        <item t="default"/>
      </items>
    </pivotField>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items count="3">
        <item x="1"/>
        <item x="0"/>
        <item t="default"/>
      </items>
    </pivotField>
    <pivotField showAll="0">
      <items count="18">
        <item x="3"/>
        <item x="16"/>
        <item x="4"/>
        <item x="13"/>
        <item x="5"/>
        <item x="6"/>
        <item x="7"/>
        <item x="8"/>
        <item x="9"/>
        <item x="0"/>
        <item x="10"/>
        <item x="15"/>
        <item x="11"/>
        <item x="1"/>
        <item x="12"/>
        <item x="14"/>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7"/>
  </rowFields>
  <rowItems count="13">
    <i>
      <x/>
    </i>
    <i>
      <x v="1"/>
    </i>
    <i>
      <x v="2"/>
    </i>
    <i>
      <x v="3"/>
    </i>
    <i>
      <x v="4"/>
    </i>
    <i>
      <x v="5"/>
    </i>
    <i>
      <x v="6"/>
    </i>
    <i>
      <x v="7"/>
    </i>
    <i>
      <x v="8"/>
    </i>
    <i>
      <x v="9"/>
    </i>
    <i>
      <x v="10"/>
    </i>
    <i>
      <x v="11"/>
    </i>
    <i t="grand">
      <x/>
    </i>
  </rowItems>
  <colItems count="1">
    <i/>
  </colItems>
  <dataFields count="1">
    <dataField name="Count of Roll_No" fld="1" subtotal="count" baseField="0" baseItem="0"/>
  </dataField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742597-FBB4-9E44-B6CD-547DEA3561D5}" name="PivotTable4" cacheId="0" dataOnRows="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9">
  <location ref="E3:F6" firstHeaderRow="1" firstDataRow="1" firstDataCol="1"/>
  <pivotFields count="15">
    <pivotField compact="0" showAll="0"/>
    <pivotField compact="0" showAll="0"/>
    <pivotField compact="0" showAll="0"/>
    <pivotField compact="0" showAll="0"/>
    <pivotField compact="0" showAll="0">
      <items count="3">
        <item x="1"/>
        <item x="0"/>
        <item t="default"/>
      </items>
    </pivotField>
    <pivotField compact="0" showAll="0">
      <items count="7">
        <item x="0"/>
        <item x="1"/>
        <item x="3"/>
        <item x="5"/>
        <item x="2"/>
        <item x="4"/>
        <item t="default"/>
      </items>
    </pivotField>
    <pivotField compact="0"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compact="0" showAll="0"/>
    <pivotField dataField="1" compact="0" showAll="0"/>
    <pivotField dataField="1" compact="0" showAll="0"/>
    <pivotField dataField="1" compact="0" showAll="0"/>
    <pivotField compact="0" showAll="0">
      <items count="3">
        <item x="1"/>
        <item x="0"/>
        <item t="default"/>
      </items>
    </pivotField>
    <pivotField compact="0" showAll="0">
      <items count="18">
        <item x="3"/>
        <item x="16"/>
        <item x="4"/>
        <item x="13"/>
        <item x="5"/>
        <item x="6"/>
        <item x="7"/>
        <item x="8"/>
        <item x="9"/>
        <item x="0"/>
        <item x="10"/>
        <item x="15"/>
        <item x="11"/>
        <item x="1"/>
        <item x="12"/>
        <item x="14"/>
        <item x="2"/>
        <item t="default"/>
      </items>
    </pivotField>
    <pivotField compact="0" showAll="0">
      <items count="15">
        <item x="0"/>
        <item x="1"/>
        <item x="2"/>
        <item x="3"/>
        <item x="4"/>
        <item x="5"/>
        <item x="6"/>
        <item x="7"/>
        <item x="8"/>
        <item x="9"/>
        <item x="10"/>
        <item x="11"/>
        <item x="12"/>
        <item x="13"/>
        <item t="default"/>
      </items>
    </pivotField>
    <pivotField compact="0" showAll="0">
      <items count="5">
        <item x="0"/>
        <item x="1"/>
        <item x="2"/>
        <item x="3"/>
        <item t="default"/>
      </items>
    </pivotField>
  </pivotFields>
  <rowFields count="1">
    <field x="-2"/>
  </rowFields>
  <rowItems count="3">
    <i>
      <x/>
    </i>
    <i i="1">
      <x v="1"/>
    </i>
    <i i="2">
      <x v="2"/>
    </i>
  </rowItems>
  <colItems count="1">
    <i/>
  </colItems>
  <dataFields count="3">
    <dataField name="Sum of Outstanding Fee" fld="10" baseField="0" baseItem="0"/>
    <dataField name="Sum of Deposit Fee" fld="9" baseField="0" baseItem="0"/>
    <dataField name="Sum of Total Fee" fld="8" baseField="0" baseItem="0"/>
  </dataFields>
  <formats count="1">
    <format dxfId="9">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414EEC-859E-F74C-BCBA-73911A72D03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5:F33" firstHeaderRow="1" firstDataRow="1" firstDataCol="1"/>
  <pivotFields count="15">
    <pivotField showAll="0"/>
    <pivotField dataField="1" showAll="0"/>
    <pivotField showAll="0"/>
    <pivotField showAll="0"/>
    <pivotField showAll="0">
      <items count="3">
        <item x="1"/>
        <item x="0"/>
        <item t="default"/>
      </items>
    </pivotField>
    <pivotField showAll="0">
      <items count="7">
        <item x="0"/>
        <item x="1"/>
        <item x="3"/>
        <item x="5"/>
        <item x="2"/>
        <item x="4"/>
        <item t="default"/>
      </items>
    </pivotField>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pivotField showAll="0"/>
    <pivotField showAll="0">
      <items count="3">
        <item x="1"/>
        <item x="0"/>
        <item t="default"/>
      </items>
    </pivotField>
    <pivotField axis="axisRow" showAll="0" sortType="ascending">
      <items count="18">
        <item x="2"/>
        <item x="14"/>
        <item x="12"/>
        <item x="1"/>
        <item x="11"/>
        <item x="15"/>
        <item x="10"/>
        <item x="0"/>
        <item x="9"/>
        <item x="8"/>
        <item x="7"/>
        <item x="6"/>
        <item x="5"/>
        <item x="13"/>
        <item x="4"/>
        <item x="16"/>
        <item x="3"/>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2"/>
  </rowFields>
  <rowItems count="18">
    <i>
      <x v="9"/>
    </i>
    <i>
      <x v="15"/>
    </i>
    <i>
      <x v="10"/>
    </i>
    <i>
      <x v="14"/>
    </i>
    <i>
      <x v="5"/>
    </i>
    <i>
      <x v="4"/>
    </i>
    <i>
      <x v="8"/>
    </i>
    <i>
      <x v="12"/>
    </i>
    <i>
      <x v="3"/>
    </i>
    <i>
      <x v="1"/>
    </i>
    <i>
      <x v="7"/>
    </i>
    <i>
      <x/>
    </i>
    <i>
      <x v="11"/>
    </i>
    <i>
      <x v="13"/>
    </i>
    <i>
      <x v="16"/>
    </i>
    <i>
      <x v="6"/>
    </i>
    <i>
      <x v="2"/>
    </i>
    <i t="grand">
      <x/>
    </i>
  </rowItems>
  <colItems count="1">
    <i/>
  </colItems>
  <dataFields count="1">
    <dataField name="Admission by State"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D8BB03-F8B5-7448-807C-B428AA59D5F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5:N13" firstHeaderRow="1" firstDataRow="2" firstDataCol="1"/>
  <pivotFields count="15">
    <pivotField showAll="0"/>
    <pivotField dataField="1" showAll="0"/>
    <pivotField showAll="0"/>
    <pivotField showAll="0"/>
    <pivotField axis="axisCol" showAll="0">
      <items count="3">
        <item x="1"/>
        <item x="0"/>
        <item t="default"/>
      </items>
    </pivotField>
    <pivotField axis="axisRow" showAll="0">
      <items count="7">
        <item x="0"/>
        <item x="1"/>
        <item x="3"/>
        <item x="5"/>
        <item x="2"/>
        <item x="4"/>
        <item t="default"/>
      </items>
    </pivotField>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pivotField showAll="0"/>
    <pivotField showAll="0">
      <items count="3">
        <item x="1"/>
        <item x="0"/>
        <item t="default"/>
      </items>
    </pivotField>
    <pivotField showAll="0">
      <items count="18">
        <item x="3"/>
        <item x="16"/>
        <item x="4"/>
        <item x="13"/>
        <item x="5"/>
        <item x="6"/>
        <item x="7"/>
        <item x="8"/>
        <item x="9"/>
        <item x="0"/>
        <item x="10"/>
        <item x="15"/>
        <item x="11"/>
        <item x="1"/>
        <item x="12"/>
        <item x="14"/>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Count of Roll_No" fld="1" subtotal="count" baseField="0" baseItem="0"/>
  </dataFields>
  <chartFormats count="7">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0"/>
          </reference>
        </references>
      </pivotArea>
    </chartFormat>
    <chartFormat chart="1" format="3"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0D896D-3C0D-ED40-9CA8-B7CEFB11E356}" name="PivotTable1" cacheId="0" applyNumberFormats="0" applyBorderFormats="0" applyFontFormats="0" applyPatternFormats="0" applyAlignmentFormats="0" applyWidthHeightFormats="1" dataCaption="Values" grandTotalCaption=" Total Admission" updatedVersion="8" minRefreshableVersion="3" useAutoFormatting="1" itemPrintTitles="1" createdVersion="8" indent="0" compact="0" outline="1" outlineData="1" compactData="0" multipleFieldFilters="0" chartFormat="22">
  <location ref="A3:B10" firstHeaderRow="1" firstDataRow="1" firstDataCol="1"/>
  <pivotFields count="15">
    <pivotField compact="0" showAll="0"/>
    <pivotField dataField="1" compact="0" showAll="0"/>
    <pivotField compact="0" showAll="0"/>
    <pivotField compact="0" showAll="0"/>
    <pivotField compact="0" showAll="0">
      <items count="3">
        <item x="1"/>
        <item x="0"/>
        <item t="default"/>
      </items>
    </pivotField>
    <pivotField axis="axisRow" compact="0" showAll="0" sortType="ascending">
      <items count="7">
        <item x="0"/>
        <item x="1"/>
        <item x="3"/>
        <item x="5"/>
        <item x="2"/>
        <item x="4"/>
        <item t="default"/>
      </items>
      <autoSortScope>
        <pivotArea dataOnly="0" outline="0" fieldPosition="0">
          <references count="1">
            <reference field="4294967294" count="1" selected="0">
              <x v="0"/>
            </reference>
          </references>
        </pivotArea>
      </autoSortScope>
    </pivotField>
    <pivotField compact="0"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compact="0" showAll="0"/>
    <pivotField compact="0" showAll="0"/>
    <pivotField compact="0" showAll="0"/>
    <pivotField compact="0" showAll="0"/>
    <pivotField compact="0" showAll="0">
      <items count="3">
        <item x="1"/>
        <item x="0"/>
        <item t="default"/>
      </items>
    </pivotField>
    <pivotField compact="0" showAll="0">
      <items count="18">
        <item x="3"/>
        <item x="16"/>
        <item x="4"/>
        <item x="13"/>
        <item x="5"/>
        <item x="6"/>
        <item x="7"/>
        <item x="8"/>
        <item x="9"/>
        <item x="0"/>
        <item x="10"/>
        <item x="15"/>
        <item x="11"/>
        <item x="1"/>
        <item x="12"/>
        <item x="14"/>
        <item x="2"/>
        <item t="default"/>
      </items>
    </pivotField>
    <pivotField compact="0" showAll="0">
      <items count="15">
        <item x="0"/>
        <item x="1"/>
        <item x="2"/>
        <item x="3"/>
        <item x="4"/>
        <item x="5"/>
        <item x="6"/>
        <item x="7"/>
        <item x="8"/>
        <item x="9"/>
        <item x="10"/>
        <item x="11"/>
        <item x="12"/>
        <item x="13"/>
        <item t="default"/>
      </items>
    </pivotField>
    <pivotField compact="0" showAll="0">
      <items count="5">
        <item x="0"/>
        <item x="1"/>
        <item x="2"/>
        <item x="3"/>
        <item t="default"/>
      </items>
    </pivotField>
  </pivotFields>
  <rowFields count="1">
    <field x="5"/>
  </rowFields>
  <rowItems count="7">
    <i>
      <x v="5"/>
    </i>
    <i>
      <x v="3"/>
    </i>
    <i>
      <x v="4"/>
    </i>
    <i>
      <x v="1"/>
    </i>
    <i>
      <x/>
    </i>
    <i>
      <x v="2"/>
    </i>
    <i t="grand">
      <x/>
    </i>
  </rowItems>
  <colItems count="1">
    <i/>
  </colItems>
  <dataFields count="1">
    <dataField name="Admission by Course" fld="1"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610DCE-5CB8-014B-8C29-A583776D10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B18" firstHeaderRow="1" firstDataRow="1" firstDataCol="1"/>
  <pivotFields count="15">
    <pivotField showAll="0"/>
    <pivotField dataField="1" showAll="0"/>
    <pivotField showAll="0"/>
    <pivotField showAll="0"/>
    <pivotField axis="axisRow" showAll="0">
      <items count="3">
        <item x="1"/>
        <item x="0"/>
        <item t="default"/>
      </items>
    </pivotField>
    <pivotField showAll="0">
      <items count="7">
        <item x="0"/>
        <item x="1"/>
        <item x="3"/>
        <item x="5"/>
        <item x="2"/>
        <item x="4"/>
        <item t="default"/>
      </items>
    </pivotField>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pivotField showAll="0"/>
    <pivotField showAll="0">
      <items count="3">
        <item x="1"/>
        <item x="0"/>
        <item t="default"/>
      </items>
    </pivotField>
    <pivotField showAll="0">
      <items count="18">
        <item x="3"/>
        <item x="16"/>
        <item x="4"/>
        <item x="13"/>
        <item x="5"/>
        <item x="6"/>
        <item x="7"/>
        <item x="8"/>
        <item x="9"/>
        <item x="0"/>
        <item x="10"/>
        <item x="15"/>
        <item x="11"/>
        <item x="1"/>
        <item x="12"/>
        <item x="14"/>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4"/>
  </rowFields>
  <rowItems count="3">
    <i>
      <x/>
    </i>
    <i>
      <x v="1"/>
    </i>
    <i t="grand">
      <x/>
    </i>
  </rowItems>
  <colItems count="1">
    <i/>
  </colItems>
  <dataFields count="1">
    <dataField name="Admission by Gender" fld="1" subtotal="count"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F3C21F-ECE3-D14E-9A13-7AC1D187A01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8:F11" firstHeaderRow="1" firstDataRow="1" firstDataCol="1"/>
  <pivotFields count="15">
    <pivotField showAll="0"/>
    <pivotField dataField="1" showAll="0"/>
    <pivotField showAll="0"/>
    <pivotField showAll="0"/>
    <pivotField showAll="0">
      <items count="3">
        <item x="1"/>
        <item x="0"/>
        <item t="default"/>
      </items>
    </pivotField>
    <pivotField showAll="0">
      <items count="7">
        <item x="0"/>
        <item x="1"/>
        <item x="3"/>
        <item x="5"/>
        <item x="2"/>
        <item x="4"/>
        <item t="default"/>
      </items>
    </pivotField>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pivotField showAll="0"/>
    <pivotField axis="axisRow" showAll="0">
      <items count="3">
        <item x="1"/>
        <item x="0"/>
        <item t="default"/>
      </items>
    </pivotField>
    <pivotField showAll="0">
      <items count="18">
        <item x="3"/>
        <item x="16"/>
        <item x="4"/>
        <item x="13"/>
        <item x="5"/>
        <item x="6"/>
        <item x="7"/>
        <item x="8"/>
        <item x="9"/>
        <item x="0"/>
        <item x="10"/>
        <item x="15"/>
        <item x="11"/>
        <item x="1"/>
        <item x="12"/>
        <item x="14"/>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1"/>
  </rowFields>
  <rowItems count="3">
    <i>
      <x/>
    </i>
    <i>
      <x v="1"/>
    </i>
    <i t="grand">
      <x/>
    </i>
  </rowItems>
  <colItems count="1">
    <i/>
  </colItems>
  <dataFields count="1">
    <dataField name="Fee Status" fld="1" subtotal="count"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0"/>
          </reference>
        </references>
      </pivotArea>
    </chartFormat>
    <chartFormat chart="2"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39D20A10-B11F-8A43-8196-ADBB5DFEBBCF}" sourceName="Course">
  <pivotTables>
    <pivotTable tabId="2" name="PivotTable1"/>
    <pivotTable tabId="2" name="PivotTable2"/>
    <pivotTable tabId="2" name="PivotTable4"/>
    <pivotTable tabId="2" name="PivotTable5"/>
    <pivotTable tabId="2" name="PivotTable6"/>
    <pivotTable tabId="2" name="PivotTable7"/>
    <pivotTable tabId="2" name="PivotTable10"/>
  </pivotTables>
  <data>
    <tabular pivotCacheId="1808905271">
      <items count="6">
        <i x="0" s="1"/>
        <i x="1" s="1"/>
        <i x="3" s="1"/>
        <i x="5"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090FD37-8623-4641-ADE6-0D63632104B3}" sourceName="Gender">
  <pivotTables>
    <pivotTable tabId="2" name="PivotTable2"/>
    <pivotTable tabId="2" name="PivotTable4"/>
    <pivotTable tabId="2" name="PivotTable5"/>
    <pivotTable tabId="2" name="PivotTable6"/>
    <pivotTable tabId="2" name="PivotTable7"/>
    <pivotTable tabId="2" name="PivotTable1"/>
    <pivotTable tabId="2" name="PivotTable10"/>
  </pivotTables>
  <data>
    <tabular pivotCacheId="180890527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E3A3EF7-A366-2A4A-B5CF-0D492962EB46}" sourceName="State">
  <pivotTables>
    <pivotTable tabId="2" name="PivotTable6"/>
    <pivotTable tabId="2" name="PivotTable1"/>
    <pivotTable tabId="2" name="PivotTable2"/>
    <pivotTable tabId="2" name="PivotTable4"/>
    <pivotTable tabId="2" name="PivotTable5"/>
    <pivotTable tabId="2" name="PivotTable7"/>
    <pivotTable tabId="2" name="PivotTable10"/>
  </pivotTables>
  <data>
    <tabular pivotCacheId="1808905271">
      <items count="17">
        <i x="3" s="1"/>
        <i x="16" s="1"/>
        <i x="4" s="1"/>
        <i x="13" s="1"/>
        <i x="5" s="1"/>
        <i x="6" s="1"/>
        <i x="7" s="1"/>
        <i x="8" s="1"/>
        <i x="9" s="1"/>
        <i x="0" s="1"/>
        <i x="10" s="1"/>
        <i x="15" s="1"/>
        <i x="11" s="1"/>
        <i x="1" s="1"/>
        <i x="12" s="1"/>
        <i x="1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BAD3C91-8113-DD44-8372-800125BDF08E}" sourceName="Status">
  <pivotTables>
    <pivotTable tabId="2" name="PivotTable5"/>
    <pivotTable tabId="2" name="PivotTable1"/>
    <pivotTable tabId="2" name="PivotTable2"/>
    <pivotTable tabId="2" name="PivotTable4"/>
    <pivotTable tabId="2" name="PivotTable6"/>
    <pivotTable tabId="2" name="PivotTable7"/>
    <pivotTable tabId="2" name="PivotTable10"/>
  </pivotTables>
  <data>
    <tabular pivotCacheId="180890527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AAE4DD1-E922-084C-BF65-0ABB3FF20751}" sourceName="Month">
  <pivotTables>
    <pivotTable tabId="2" name="PivotTable10"/>
  </pivotTables>
  <data>
    <tabular pivotCacheId="180890527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xr10:uid="{9DD6E0AB-9063-9B46-807F-782D32B7F7E3}" cache="Slicer_Course" caption="Course" columnCount="2" style="SlicerStyleLight2" rowHeight="182880"/>
  <slicer name="Gender" xr10:uid="{B565ED83-B020-F342-AD1A-87BF1965E67E}" cache="Slicer_Gender" caption="Gender" style="SlicerStyleLight6" rowHeight="230716"/>
  <slicer name="State" xr10:uid="{235B53DD-8FAF-F242-AF58-F5655A701BD9}" cache="Slicer_State" caption="State" columnCount="3" style="SlicerStyleLight2" rowHeight="182880"/>
  <slicer name="Status" xr10:uid="{2DAD88A9-6E14-584C-A053-DE8D9C8F2B36}" cache="Slicer_Status" caption="Status" style="SlicerStyleOther2" rowHeight="230716"/>
  <slicer name="Month" xr10:uid="{2CFC277E-AFA9-5046-B576-07FD415C8261}" cache="Slicer_Month" caption="Month" columnCount="4" style="SlicerStyleOther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429A7A-B005-914E-A3C4-A8131FA7FB2E}" name="student_data" displayName="student_data" ref="A1:M926" totalsRowShown="0" headerRowDxfId="24" dataDxfId="23">
  <autoFilter ref="A1:M926" xr:uid="{4B429A7A-B005-914E-A3C4-A8131FA7FB2E}"/>
  <sortState xmlns:xlrd2="http://schemas.microsoft.com/office/spreadsheetml/2017/richdata2" ref="A2:M926">
    <sortCondition ref="G2:G926"/>
  </sortState>
  <tableColumns count="13">
    <tableColumn id="1" xr3:uid="{584F0D17-6476-3744-BAD6-78C4F30BDCE4}" name="Sn" dataDxfId="22"/>
    <tableColumn id="2" xr3:uid="{0AC83FB7-31D9-024B-86A6-A64589A91109}" name="Roll_No" dataDxfId="21"/>
    <tableColumn id="3" xr3:uid="{E30EC37C-56C5-F641-AE8C-5D34F275751A}" name="Name" dataDxfId="20"/>
    <tableColumn id="4" xr3:uid="{1BC4F95D-5D7B-0240-85BA-E428EC938AC1}" name="Father" dataDxfId="19"/>
    <tableColumn id="5" xr3:uid="{F1AB259B-50A5-FC4B-A88A-D6E94A36FAD7}" name="Gender" dataDxfId="18"/>
    <tableColumn id="6" xr3:uid="{771BFCD4-8F99-F946-ACBD-2CABB3CFA8B5}" name="Course" dataDxfId="17"/>
    <tableColumn id="7" xr3:uid="{1A515805-64A1-B645-B749-C05564E34F8C}" name="Admission Date" dataDxfId="16"/>
    <tableColumn id="16" xr3:uid="{3450CA6C-6EF2-4B49-9B75-29D00995B23F}" name="Month" dataDxfId="15">
      <calculatedColumnFormula>TEXT(G2,"mmm")</calculatedColumnFormula>
    </tableColumn>
    <tableColumn id="8" xr3:uid="{9EBC5A36-4526-B34E-ADC3-FC17CEB55BE6}" name="Total Fee" dataDxfId="14"/>
    <tableColumn id="9" xr3:uid="{2E8EB086-FAE3-7540-ABA9-1C901E4959BC}" name="Deposit Fee" dataDxfId="13"/>
    <tableColumn id="12" xr3:uid="{857FEED0-D52C-B247-B5CC-15A52EA289CD}" name="Outstanding Fee" dataDxfId="12">
      <calculatedColumnFormula>student_data[[#This Row],[Total Fee]]-student_data[[#This Row],[Deposit Fee]]</calculatedColumnFormula>
    </tableColumn>
    <tableColumn id="13" xr3:uid="{5B2AA537-CDE3-444B-A712-236CDB2A9F0B}" name="Status" dataDxfId="11">
      <calculatedColumnFormula>IF(student_data[[#This Row],[Outstanding Fee]]=0,"Paid",IF(student_data[[#This Row],[Deposit Fee]]=0,"Unpaid","Partially Paid"))</calculatedColumnFormula>
    </tableColumn>
    <tableColumn id="10" xr3:uid="{9C48F102-286E-7047-9895-5EB243677FF8}" name="State"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968DC-D83F-4943-945D-596729E34A4A}">
  <dimension ref="D3:Q59"/>
  <sheetViews>
    <sheetView showGridLines="0" tabSelected="1" zoomScale="60" zoomScaleNormal="60" workbookViewId="0">
      <selection activeCell="R8" sqref="R8"/>
    </sheetView>
  </sheetViews>
  <sheetFormatPr defaultColWidth="12.796875" defaultRowHeight="20" customHeight="1"/>
  <cols>
    <col min="4" max="4" width="12.796875" customWidth="1"/>
    <col min="5" max="5" width="28.46484375" customWidth="1"/>
    <col min="6" max="6" width="12.6640625" customWidth="1"/>
    <col min="7" max="7" width="15.1328125" customWidth="1"/>
    <col min="8" max="8" width="28" customWidth="1"/>
    <col min="11" max="11" width="7.1328125" customWidth="1"/>
    <col min="12" max="12" width="27.1328125" customWidth="1"/>
    <col min="15" max="15" width="9.33203125" customWidth="1"/>
    <col min="16" max="16" width="25.1328125" customWidth="1"/>
  </cols>
  <sheetData>
    <row r="3" spans="4:17" ht="20" customHeight="1">
      <c r="D3" s="11"/>
      <c r="E3" s="11"/>
      <c r="F3" s="11"/>
      <c r="G3" s="11"/>
      <c r="H3" s="11"/>
      <c r="I3" s="11"/>
      <c r="J3" s="11"/>
      <c r="K3" s="11"/>
      <c r="L3" s="11"/>
      <c r="M3" s="11"/>
      <c r="N3" s="11"/>
      <c r="O3" s="11"/>
      <c r="P3" s="11"/>
      <c r="Q3" s="11"/>
    </row>
    <row r="4" spans="4:17" ht="20" customHeight="1">
      <c r="D4" s="29"/>
      <c r="E4" s="30" t="s">
        <v>1394</v>
      </c>
      <c r="F4" s="31"/>
      <c r="G4" s="31"/>
      <c r="H4" s="32"/>
      <c r="I4" s="32"/>
      <c r="J4" s="32"/>
      <c r="K4" s="32"/>
      <c r="L4" s="32"/>
      <c r="M4" s="32"/>
      <c r="N4" s="31"/>
      <c r="O4" s="31"/>
      <c r="P4" s="31"/>
      <c r="Q4" s="31"/>
    </row>
    <row r="5" spans="4:17" ht="20" customHeight="1">
      <c r="D5" s="11"/>
      <c r="E5" s="20"/>
      <c r="F5" s="21"/>
      <c r="G5" s="21"/>
      <c r="H5" s="21"/>
      <c r="I5" s="21"/>
      <c r="J5" s="21"/>
      <c r="K5" s="21"/>
      <c r="L5" s="21"/>
      <c r="M5" s="21"/>
      <c r="N5" s="21"/>
      <c r="O5" s="21"/>
      <c r="P5" s="21"/>
      <c r="Q5" s="21"/>
    </row>
    <row r="6" spans="4:17" ht="20" customHeight="1">
      <c r="D6" s="29"/>
      <c r="E6" s="33" t="s">
        <v>1395</v>
      </c>
      <c r="F6" s="33"/>
      <c r="G6" s="33"/>
      <c r="H6" s="33"/>
      <c r="I6" s="33"/>
      <c r="J6" s="33"/>
      <c r="K6" s="33"/>
      <c r="L6" s="33"/>
      <c r="M6" s="33"/>
      <c r="N6" s="33"/>
      <c r="O6" s="33"/>
      <c r="P6" s="33"/>
      <c r="Q6" s="33"/>
    </row>
    <row r="7" spans="4:17" ht="20" customHeight="1">
      <c r="D7" s="11"/>
      <c r="E7" s="22"/>
      <c r="F7" s="22"/>
      <c r="G7" s="22"/>
      <c r="H7" s="22"/>
      <c r="I7" s="22"/>
      <c r="J7" s="22"/>
      <c r="K7" s="22"/>
      <c r="L7" s="22"/>
      <c r="M7" s="22"/>
      <c r="N7" s="22"/>
      <c r="O7" s="22"/>
      <c r="P7" s="22"/>
      <c r="Q7" s="22"/>
    </row>
    <row r="8" spans="4:17" ht="20" customHeight="1" thickBot="1">
      <c r="D8" s="11"/>
      <c r="E8" s="11"/>
      <c r="F8" s="11"/>
      <c r="G8" s="11"/>
      <c r="H8" s="11"/>
      <c r="I8" s="11"/>
      <c r="J8" s="11"/>
      <c r="K8" s="11"/>
      <c r="L8" s="11"/>
      <c r="M8" s="11"/>
      <c r="N8" s="11"/>
      <c r="O8" s="11"/>
      <c r="P8" s="11"/>
      <c r="Q8" s="11"/>
    </row>
    <row r="9" spans="4:17" ht="19.05" customHeight="1">
      <c r="D9" s="11"/>
      <c r="E9" s="26" t="s">
        <v>1398</v>
      </c>
      <c r="F9" s="11"/>
      <c r="G9" s="11"/>
      <c r="H9" s="26" t="s">
        <v>1385</v>
      </c>
      <c r="I9" s="11"/>
      <c r="J9" s="11"/>
      <c r="K9" s="11"/>
      <c r="L9" s="26" t="s">
        <v>1384</v>
      </c>
      <c r="M9" s="11"/>
      <c r="N9" s="11"/>
      <c r="O9" s="11"/>
      <c r="P9" s="26" t="s">
        <v>1383</v>
      </c>
      <c r="Q9" s="11"/>
    </row>
    <row r="10" spans="4:17" ht="47" customHeight="1" thickBot="1">
      <c r="D10" s="11"/>
      <c r="E10" s="24">
        <f>GETPIVOTDATA("Roll_No",'Pivot Analysis'!$A$3)</f>
        <v>925</v>
      </c>
      <c r="F10" s="13"/>
      <c r="G10" s="11"/>
      <c r="H10" s="25">
        <f>GETPIVOTDATA("Sum of Outstanding Fee",'Pivot Analysis'!$E$3)</f>
        <v>446250</v>
      </c>
      <c r="I10" s="11"/>
      <c r="J10" s="15"/>
      <c r="K10" s="11"/>
      <c r="L10" s="25">
        <f>GETPIVOTDATA("Sum of Deposit Fee",'Pivot Analysis'!$E$3)</f>
        <v>4720550</v>
      </c>
      <c r="M10" s="11"/>
      <c r="N10" s="12"/>
      <c r="O10" s="11"/>
      <c r="P10" s="25">
        <f>GETPIVOTDATA("Sum of Total Fee",'Pivot Analysis'!$E$3)</f>
        <v>5166800</v>
      </c>
      <c r="Q10" s="16"/>
    </row>
    <row r="11" spans="4:17" ht="20" customHeight="1">
      <c r="D11" s="11"/>
      <c r="E11" s="17"/>
      <c r="F11" s="14"/>
      <c r="G11" s="14"/>
      <c r="H11" s="18"/>
      <c r="I11" s="19"/>
      <c r="J11" s="19"/>
      <c r="K11" s="18"/>
      <c r="L11" s="19"/>
      <c r="M11" s="19"/>
      <c r="N11" s="18"/>
      <c r="O11" s="11"/>
      <c r="P11" s="16"/>
      <c r="Q11" s="16"/>
    </row>
    <row r="12" spans="4:17" ht="20" customHeight="1">
      <c r="D12" s="11"/>
      <c r="E12" s="11"/>
      <c r="F12" s="11"/>
      <c r="G12" s="11"/>
      <c r="H12" s="11"/>
      <c r="I12" s="11"/>
      <c r="J12" s="11"/>
      <c r="K12" s="11"/>
      <c r="L12" s="11"/>
      <c r="M12" s="11"/>
      <c r="N12" s="11"/>
      <c r="O12" s="11"/>
      <c r="P12" s="11"/>
      <c r="Q12" s="11"/>
    </row>
    <row r="13" spans="4:17" ht="20" customHeight="1">
      <c r="D13" s="11"/>
      <c r="E13" s="11"/>
      <c r="F13" s="11"/>
      <c r="G13" s="11"/>
      <c r="H13" s="11"/>
      <c r="I13" s="11"/>
      <c r="J13" s="11"/>
      <c r="K13" s="11"/>
      <c r="L13" s="11"/>
      <c r="M13" s="11"/>
      <c r="N13" s="11"/>
      <c r="O13" s="11"/>
      <c r="P13" s="11"/>
      <c r="Q13" s="11"/>
    </row>
    <row r="14" spans="4:17" ht="20" customHeight="1">
      <c r="D14" s="11"/>
      <c r="E14" s="11"/>
      <c r="F14" s="11"/>
      <c r="G14" s="11"/>
      <c r="H14" s="11"/>
      <c r="I14" s="11"/>
      <c r="J14" s="11"/>
      <c r="K14" s="11"/>
      <c r="L14" s="11"/>
      <c r="M14" s="11"/>
      <c r="N14" s="11"/>
      <c r="O14" s="11"/>
      <c r="P14" s="11"/>
      <c r="Q14" s="11"/>
    </row>
    <row r="15" spans="4:17" ht="20" customHeight="1">
      <c r="D15" s="11"/>
      <c r="E15" s="11"/>
      <c r="F15" s="11"/>
      <c r="G15" s="11"/>
      <c r="H15" s="11"/>
      <c r="I15" s="11"/>
      <c r="J15" s="11"/>
      <c r="K15" s="11"/>
      <c r="L15" s="11"/>
      <c r="M15" s="11"/>
      <c r="N15" s="11"/>
      <c r="O15" s="11"/>
      <c r="P15" s="11"/>
      <c r="Q15" s="11"/>
    </row>
    <row r="16" spans="4:17" ht="20" customHeight="1">
      <c r="D16" s="11"/>
      <c r="E16" s="11"/>
      <c r="F16" s="11"/>
      <c r="G16" s="11"/>
      <c r="H16" s="11"/>
      <c r="I16" s="11"/>
      <c r="J16" s="11"/>
      <c r="K16" s="11"/>
      <c r="L16" s="11"/>
      <c r="M16" s="11"/>
      <c r="N16" s="11"/>
      <c r="O16" s="11"/>
      <c r="P16" s="11"/>
      <c r="Q16" s="11"/>
    </row>
    <row r="17" spans="4:17" ht="20" customHeight="1">
      <c r="D17" s="11"/>
      <c r="E17" s="11"/>
      <c r="F17" s="11"/>
      <c r="G17" s="11"/>
      <c r="H17" s="11"/>
      <c r="I17" s="11"/>
      <c r="J17" s="11"/>
      <c r="K17" s="11"/>
      <c r="L17" s="11"/>
      <c r="M17" s="11"/>
      <c r="N17" s="11"/>
      <c r="O17" s="11"/>
      <c r="P17" s="11"/>
      <c r="Q17" s="11"/>
    </row>
    <row r="18" spans="4:17" ht="20" customHeight="1">
      <c r="D18" s="11"/>
      <c r="E18" s="11"/>
      <c r="F18" s="11"/>
      <c r="G18" s="11"/>
      <c r="H18" s="11"/>
      <c r="I18" s="11"/>
      <c r="J18" s="11"/>
      <c r="K18" s="11"/>
      <c r="L18" s="11"/>
      <c r="M18" s="11"/>
      <c r="N18" s="11"/>
      <c r="O18" s="11"/>
      <c r="P18" s="11"/>
      <c r="Q18" s="11"/>
    </row>
    <row r="19" spans="4:17" ht="20" customHeight="1">
      <c r="D19" s="11"/>
      <c r="E19" s="11"/>
      <c r="F19" s="11"/>
      <c r="G19" s="11"/>
      <c r="H19" s="11"/>
      <c r="I19" s="11"/>
      <c r="J19" s="11"/>
      <c r="K19" s="11"/>
      <c r="L19" s="11"/>
      <c r="M19" s="11"/>
      <c r="N19" s="11"/>
      <c r="O19" s="11"/>
      <c r="P19" s="11"/>
      <c r="Q19" s="11"/>
    </row>
    <row r="20" spans="4:17" ht="20" customHeight="1">
      <c r="D20" s="11"/>
      <c r="E20" s="11"/>
      <c r="F20" s="11"/>
      <c r="G20" s="11"/>
      <c r="H20" s="11"/>
      <c r="I20" s="11"/>
      <c r="J20" s="11"/>
      <c r="K20" s="11"/>
      <c r="L20" s="11"/>
      <c r="M20" s="11"/>
      <c r="N20" s="11"/>
      <c r="O20" s="11"/>
      <c r="P20" s="11"/>
      <c r="Q20" s="11"/>
    </row>
    <row r="21" spans="4:17" ht="20" customHeight="1">
      <c r="D21" s="11"/>
      <c r="E21" s="11"/>
      <c r="F21" s="11"/>
      <c r="G21" s="11"/>
      <c r="H21" s="11"/>
      <c r="I21" s="11"/>
      <c r="J21" s="11"/>
      <c r="K21" s="11"/>
      <c r="L21" s="11"/>
      <c r="M21" s="11"/>
      <c r="N21" s="11"/>
      <c r="O21" s="11"/>
      <c r="P21" s="11"/>
      <c r="Q21" s="11"/>
    </row>
    <row r="22" spans="4:17" ht="20" customHeight="1">
      <c r="D22" s="11"/>
      <c r="E22" s="11"/>
      <c r="F22" s="11"/>
      <c r="G22" s="11"/>
      <c r="H22" s="11"/>
      <c r="I22" s="11"/>
      <c r="J22" s="11"/>
      <c r="K22" s="11"/>
      <c r="L22" s="11"/>
      <c r="M22" s="11"/>
      <c r="N22" s="11"/>
      <c r="O22" s="11"/>
      <c r="P22" s="11"/>
      <c r="Q22" s="11"/>
    </row>
    <row r="23" spans="4:17" ht="20" customHeight="1">
      <c r="D23" s="11"/>
      <c r="E23" s="11"/>
      <c r="F23" s="11"/>
      <c r="G23" s="11"/>
      <c r="H23" s="11"/>
      <c r="I23" s="11"/>
      <c r="J23" s="11"/>
      <c r="K23" s="11"/>
      <c r="L23" s="11"/>
      <c r="M23" s="11"/>
      <c r="N23" s="11"/>
      <c r="O23" s="11"/>
      <c r="P23" s="11"/>
      <c r="Q23" s="11"/>
    </row>
    <row r="24" spans="4:17" ht="20" customHeight="1">
      <c r="D24" s="11"/>
      <c r="E24" s="11"/>
      <c r="F24" s="11"/>
      <c r="G24" s="11"/>
      <c r="H24" s="11"/>
      <c r="I24" s="11"/>
      <c r="J24" s="11"/>
      <c r="K24" s="11"/>
      <c r="L24" s="11"/>
      <c r="M24" s="11"/>
      <c r="N24" s="11"/>
      <c r="O24" s="11"/>
      <c r="P24" s="11"/>
      <c r="Q24" s="11"/>
    </row>
    <row r="25" spans="4:17" ht="20" customHeight="1">
      <c r="D25" s="11"/>
      <c r="E25" s="11"/>
      <c r="F25" s="11"/>
      <c r="G25" s="11"/>
      <c r="H25" s="11"/>
      <c r="I25" s="11"/>
      <c r="J25" s="11"/>
      <c r="K25" s="11"/>
      <c r="L25" s="11"/>
      <c r="M25" s="11"/>
      <c r="N25" s="11"/>
      <c r="O25" s="11"/>
      <c r="P25" s="11"/>
      <c r="Q25" s="11"/>
    </row>
    <row r="26" spans="4:17" ht="20" customHeight="1">
      <c r="D26" s="11"/>
      <c r="E26" s="11"/>
      <c r="F26" s="11"/>
      <c r="G26" s="11"/>
      <c r="H26" s="11"/>
      <c r="I26" s="11"/>
      <c r="J26" s="11"/>
      <c r="K26" s="11"/>
      <c r="L26" s="11"/>
      <c r="M26" s="11"/>
      <c r="N26" s="11"/>
      <c r="O26" s="11"/>
      <c r="P26" s="11"/>
      <c r="Q26" s="11"/>
    </row>
    <row r="27" spans="4:17" ht="20" customHeight="1">
      <c r="D27" s="11"/>
      <c r="E27" s="11"/>
      <c r="F27" s="11"/>
      <c r="G27" s="11"/>
      <c r="H27" s="11"/>
      <c r="I27" s="11"/>
      <c r="J27" s="11"/>
      <c r="K27" s="11"/>
      <c r="L27" s="11"/>
      <c r="M27" s="11"/>
      <c r="N27" s="11"/>
      <c r="O27" s="11"/>
      <c r="P27" s="11"/>
      <c r="Q27" s="11"/>
    </row>
    <row r="28" spans="4:17" ht="20" customHeight="1">
      <c r="D28" s="11"/>
      <c r="E28" s="11"/>
      <c r="F28" s="11"/>
      <c r="G28" s="11"/>
      <c r="H28" s="11"/>
      <c r="I28" s="11"/>
      <c r="J28" s="11"/>
      <c r="K28" s="11"/>
      <c r="L28" s="11"/>
      <c r="M28" s="11"/>
      <c r="N28" s="11"/>
      <c r="O28" s="11"/>
      <c r="P28" s="11"/>
      <c r="Q28" s="11"/>
    </row>
    <row r="29" spans="4:17" ht="20" customHeight="1">
      <c r="D29" s="11"/>
      <c r="E29" s="11"/>
      <c r="F29" s="11"/>
      <c r="G29" s="11"/>
      <c r="H29" s="11"/>
      <c r="I29" s="11"/>
      <c r="J29" s="11"/>
      <c r="K29" s="11"/>
      <c r="L29" s="11"/>
      <c r="M29" s="11"/>
      <c r="N29" s="11"/>
      <c r="O29" s="11"/>
      <c r="P29" s="11"/>
      <c r="Q29" s="11"/>
    </row>
    <row r="30" spans="4:17" ht="20" customHeight="1">
      <c r="D30" s="11"/>
      <c r="E30" s="11"/>
      <c r="F30" s="11"/>
      <c r="G30" s="11"/>
      <c r="H30" s="11"/>
      <c r="I30" s="11"/>
      <c r="J30" s="11"/>
      <c r="K30" s="11"/>
      <c r="L30" s="11"/>
      <c r="M30" s="11"/>
      <c r="N30" s="11"/>
      <c r="O30" s="11"/>
      <c r="P30" s="11"/>
      <c r="Q30" s="11"/>
    </row>
    <row r="31" spans="4:17" ht="20" customHeight="1">
      <c r="D31" s="11"/>
      <c r="E31" s="11"/>
      <c r="F31" s="11"/>
      <c r="G31" s="11"/>
      <c r="H31" s="11"/>
      <c r="I31" s="11"/>
      <c r="J31" s="11"/>
      <c r="K31" s="11"/>
      <c r="L31" s="11"/>
      <c r="M31" s="11"/>
      <c r="N31" s="11"/>
      <c r="O31" s="11"/>
      <c r="P31" s="11"/>
      <c r="Q31" s="11"/>
    </row>
    <row r="32" spans="4:17" ht="20" customHeight="1">
      <c r="D32" s="11"/>
      <c r="E32" s="11"/>
      <c r="F32" s="11"/>
      <c r="G32" s="11"/>
      <c r="H32" s="11"/>
      <c r="I32" s="11"/>
      <c r="J32" s="11"/>
      <c r="K32" s="11"/>
      <c r="L32" s="11"/>
      <c r="M32" s="11"/>
      <c r="N32" s="11"/>
      <c r="O32" s="11"/>
      <c r="P32" s="11"/>
      <c r="Q32" s="11"/>
    </row>
    <row r="33" spans="4:17" ht="20" customHeight="1">
      <c r="D33" s="11"/>
      <c r="E33" s="11"/>
      <c r="F33" s="11"/>
      <c r="G33" s="11"/>
      <c r="H33" s="11"/>
      <c r="I33" s="11"/>
      <c r="J33" s="11"/>
      <c r="K33" s="11"/>
      <c r="L33" s="11"/>
      <c r="M33" s="11"/>
      <c r="N33" s="11"/>
      <c r="O33" s="11"/>
      <c r="P33" s="11"/>
      <c r="Q33" s="11"/>
    </row>
    <row r="34" spans="4:17" ht="20" customHeight="1">
      <c r="D34" s="11"/>
      <c r="E34" s="11"/>
      <c r="F34" s="11"/>
      <c r="G34" s="11"/>
      <c r="H34" s="11"/>
      <c r="I34" s="11"/>
      <c r="J34" s="11"/>
      <c r="K34" s="11"/>
      <c r="L34" s="11"/>
      <c r="M34" s="11"/>
      <c r="N34" s="11"/>
      <c r="O34" s="11"/>
      <c r="P34" s="11"/>
      <c r="Q34" s="11"/>
    </row>
    <row r="35" spans="4:17" ht="20" customHeight="1">
      <c r="D35" s="11"/>
      <c r="E35" s="11"/>
      <c r="F35" s="11"/>
      <c r="G35" s="11"/>
      <c r="H35" s="11"/>
      <c r="I35" s="11"/>
      <c r="J35" s="11"/>
      <c r="K35" s="11"/>
      <c r="L35" s="11"/>
      <c r="M35" s="11"/>
      <c r="N35" s="11"/>
      <c r="O35" s="11"/>
      <c r="P35" s="11"/>
      <c r="Q35" s="11"/>
    </row>
    <row r="36" spans="4:17" ht="20" customHeight="1">
      <c r="D36" s="11"/>
      <c r="E36" s="11"/>
      <c r="F36" s="11"/>
      <c r="G36" s="11"/>
      <c r="H36" s="11"/>
      <c r="I36" s="11"/>
      <c r="J36" s="11"/>
      <c r="K36" s="11"/>
      <c r="L36" s="11"/>
      <c r="M36" s="11"/>
      <c r="N36" s="11"/>
      <c r="O36" s="11"/>
      <c r="P36" s="11"/>
      <c r="Q36" s="11"/>
    </row>
    <row r="37" spans="4:17" ht="20" customHeight="1">
      <c r="D37" s="11"/>
      <c r="E37" s="11"/>
      <c r="F37" s="11"/>
      <c r="G37" s="11"/>
      <c r="H37" s="11"/>
      <c r="I37" s="11"/>
      <c r="J37" s="11"/>
      <c r="K37" s="11"/>
      <c r="L37" s="11"/>
      <c r="M37" s="11"/>
      <c r="N37" s="11"/>
      <c r="O37" s="11"/>
      <c r="P37" s="11"/>
      <c r="Q37" s="11"/>
    </row>
    <row r="38" spans="4:17" ht="20" customHeight="1">
      <c r="D38" s="11"/>
      <c r="E38" s="11"/>
      <c r="F38" s="11"/>
      <c r="G38" s="11"/>
      <c r="H38" s="11"/>
      <c r="I38" s="11"/>
      <c r="J38" s="11"/>
      <c r="K38" s="11"/>
      <c r="L38" s="11"/>
      <c r="M38" s="11"/>
      <c r="N38" s="11"/>
      <c r="O38" s="11"/>
      <c r="P38" s="11"/>
      <c r="Q38" s="11"/>
    </row>
    <row r="39" spans="4:17" ht="20" customHeight="1">
      <c r="D39" s="11"/>
      <c r="E39" s="11"/>
      <c r="F39" s="11"/>
      <c r="G39" s="11"/>
      <c r="H39" s="11"/>
      <c r="I39" s="11"/>
      <c r="J39" s="11"/>
      <c r="K39" s="11"/>
      <c r="L39" s="11"/>
      <c r="M39" s="11"/>
      <c r="N39" s="11"/>
      <c r="O39" s="11"/>
      <c r="P39" s="11"/>
      <c r="Q39" s="11"/>
    </row>
    <row r="40" spans="4:17" ht="20" customHeight="1">
      <c r="D40" s="23"/>
      <c r="E40" s="23"/>
      <c r="F40" s="23"/>
      <c r="G40" s="23"/>
      <c r="H40" s="23"/>
      <c r="I40" s="23"/>
      <c r="J40" s="23"/>
      <c r="K40" s="23"/>
      <c r="L40" s="23"/>
      <c r="M40" s="23"/>
      <c r="N40" s="23"/>
      <c r="O40" s="23"/>
      <c r="P40" s="23"/>
      <c r="Q40" s="23"/>
    </row>
    <row r="41" spans="4:17" ht="20" customHeight="1">
      <c r="D41" s="23"/>
      <c r="E41" s="23"/>
      <c r="F41" s="23"/>
      <c r="G41" s="23"/>
      <c r="H41" s="23"/>
      <c r="I41" s="23"/>
      <c r="J41" s="23"/>
      <c r="K41" s="23"/>
      <c r="L41" s="23"/>
      <c r="M41" s="23"/>
      <c r="N41" s="23"/>
      <c r="O41" s="23"/>
      <c r="P41" s="23"/>
      <c r="Q41" s="23"/>
    </row>
    <row r="42" spans="4:17" ht="20" customHeight="1">
      <c r="D42" s="23"/>
      <c r="E42" s="23"/>
      <c r="F42" s="23"/>
      <c r="G42" s="23"/>
      <c r="H42" s="23"/>
      <c r="I42" s="23"/>
      <c r="J42" s="23"/>
      <c r="K42" s="23"/>
      <c r="L42" s="23"/>
      <c r="M42" s="23"/>
      <c r="N42" s="23"/>
      <c r="O42" s="23"/>
      <c r="P42" s="23"/>
      <c r="Q42" s="23"/>
    </row>
    <row r="43" spans="4:17" ht="20" customHeight="1">
      <c r="D43" s="23"/>
      <c r="E43" s="23"/>
      <c r="F43" s="23"/>
      <c r="G43" s="23"/>
      <c r="H43" s="23"/>
      <c r="I43" s="23"/>
      <c r="J43" s="23"/>
      <c r="K43" s="23"/>
      <c r="L43" s="23"/>
      <c r="M43" s="23"/>
      <c r="N43" s="23"/>
      <c r="O43" s="23"/>
      <c r="P43" s="23"/>
      <c r="Q43" s="23"/>
    </row>
    <row r="44" spans="4:17" ht="20" customHeight="1">
      <c r="D44" s="23"/>
      <c r="E44" s="23"/>
      <c r="F44" s="23"/>
      <c r="G44" s="23"/>
      <c r="H44" s="23"/>
      <c r="I44" s="23"/>
      <c r="J44" s="23"/>
      <c r="K44" s="23"/>
      <c r="L44" s="23"/>
      <c r="M44" s="23"/>
      <c r="N44" s="23"/>
      <c r="O44" s="23"/>
      <c r="P44" s="23"/>
      <c r="Q44" s="23"/>
    </row>
    <row r="45" spans="4:17" ht="20" customHeight="1">
      <c r="D45" s="23"/>
      <c r="E45" s="23"/>
      <c r="F45" s="23"/>
      <c r="G45" s="23"/>
      <c r="H45" s="23"/>
      <c r="I45" s="23"/>
      <c r="J45" s="23"/>
      <c r="K45" s="23"/>
      <c r="L45" s="23"/>
      <c r="M45" s="23"/>
      <c r="N45" s="23"/>
      <c r="O45" s="23"/>
      <c r="P45" s="23"/>
      <c r="Q45" s="23"/>
    </row>
    <row r="46" spans="4:17" ht="20" customHeight="1">
      <c r="D46" s="23"/>
      <c r="E46" s="23"/>
      <c r="F46" s="23"/>
      <c r="G46" s="23"/>
      <c r="H46" s="23"/>
      <c r="I46" s="23"/>
      <c r="J46" s="23"/>
      <c r="K46" s="23"/>
      <c r="L46" s="23"/>
      <c r="M46" s="23"/>
      <c r="N46" s="23"/>
      <c r="O46" s="23"/>
      <c r="P46" s="23"/>
      <c r="Q46" s="23"/>
    </row>
    <row r="47" spans="4:17" ht="20" customHeight="1">
      <c r="D47" s="23"/>
      <c r="E47" s="23"/>
      <c r="F47" s="23"/>
      <c r="G47" s="23"/>
      <c r="H47" s="23"/>
      <c r="I47" s="23"/>
      <c r="J47" s="23"/>
      <c r="K47" s="23"/>
      <c r="L47" s="23"/>
      <c r="M47" s="23"/>
      <c r="N47" s="23"/>
      <c r="O47" s="23"/>
      <c r="P47" s="23"/>
      <c r="Q47" s="23"/>
    </row>
    <row r="48" spans="4:17" ht="20" customHeight="1">
      <c r="D48" s="23"/>
      <c r="E48" s="23"/>
      <c r="F48" s="23"/>
      <c r="G48" s="23"/>
      <c r="H48" s="23"/>
      <c r="I48" s="23"/>
      <c r="J48" s="23"/>
      <c r="K48" s="23"/>
      <c r="L48" s="23"/>
      <c r="M48" s="23"/>
      <c r="N48" s="23"/>
      <c r="O48" s="23"/>
      <c r="P48" s="23"/>
      <c r="Q48" s="23"/>
    </row>
    <row r="49" spans="4:17" ht="20" customHeight="1">
      <c r="D49" s="23"/>
      <c r="E49" s="23"/>
      <c r="F49" s="23"/>
      <c r="G49" s="23"/>
      <c r="H49" s="23"/>
      <c r="I49" s="23"/>
      <c r="J49" s="23"/>
      <c r="K49" s="23"/>
      <c r="L49" s="23"/>
      <c r="M49" s="23"/>
      <c r="N49" s="23"/>
      <c r="O49" s="23"/>
      <c r="P49" s="23"/>
      <c r="Q49" s="23"/>
    </row>
    <row r="50" spans="4:17" ht="20" customHeight="1">
      <c r="D50" s="23"/>
      <c r="E50" s="23"/>
      <c r="F50" s="23"/>
      <c r="G50" s="23"/>
      <c r="H50" s="23"/>
      <c r="I50" s="23"/>
      <c r="J50" s="23"/>
      <c r="K50" s="23"/>
      <c r="L50" s="23"/>
      <c r="M50" s="23"/>
      <c r="N50" s="23"/>
      <c r="O50" s="23"/>
      <c r="P50" s="23"/>
      <c r="Q50" s="23"/>
    </row>
    <row r="51" spans="4:17" ht="20" customHeight="1">
      <c r="D51" s="23"/>
      <c r="E51" s="23"/>
      <c r="F51" s="23"/>
      <c r="G51" s="23"/>
      <c r="H51" s="23"/>
      <c r="I51" s="23"/>
      <c r="J51" s="23"/>
      <c r="K51" s="23"/>
      <c r="L51" s="23"/>
      <c r="M51" s="23"/>
      <c r="N51" s="23"/>
      <c r="O51" s="23"/>
      <c r="P51" s="23"/>
      <c r="Q51" s="23"/>
    </row>
    <row r="52" spans="4:17" ht="20" customHeight="1">
      <c r="D52" s="23"/>
      <c r="E52" s="23"/>
      <c r="F52" s="23"/>
      <c r="G52" s="23"/>
      <c r="H52" s="23"/>
      <c r="I52" s="23"/>
      <c r="J52" s="23"/>
      <c r="K52" s="23"/>
      <c r="L52" s="23"/>
      <c r="M52" s="23"/>
      <c r="N52" s="23"/>
      <c r="O52" s="23"/>
      <c r="P52" s="23"/>
      <c r="Q52" s="23"/>
    </row>
    <row r="53" spans="4:17" ht="20" customHeight="1">
      <c r="D53" s="23"/>
      <c r="E53" s="23"/>
      <c r="F53" s="23"/>
      <c r="G53" s="23"/>
      <c r="H53" s="23"/>
      <c r="I53" s="23"/>
      <c r="J53" s="23"/>
      <c r="K53" s="23"/>
      <c r="L53" s="23"/>
      <c r="M53" s="23"/>
      <c r="N53" s="23"/>
      <c r="O53" s="23"/>
      <c r="P53" s="23"/>
      <c r="Q53" s="23"/>
    </row>
    <row r="54" spans="4:17" ht="20" customHeight="1">
      <c r="D54" s="23"/>
      <c r="E54" s="23"/>
      <c r="F54" s="23"/>
      <c r="G54" s="23"/>
      <c r="H54" s="23"/>
      <c r="I54" s="23"/>
      <c r="J54" s="23"/>
      <c r="K54" s="23"/>
      <c r="L54" s="23"/>
      <c r="M54" s="23"/>
      <c r="N54" s="23"/>
      <c r="O54" s="23"/>
      <c r="P54" s="23"/>
      <c r="Q54" s="23"/>
    </row>
    <row r="55" spans="4:17" ht="20" customHeight="1">
      <c r="D55" s="23"/>
      <c r="E55" s="23"/>
      <c r="F55" s="23"/>
      <c r="G55" s="23"/>
      <c r="H55" s="23"/>
      <c r="I55" s="23"/>
      <c r="J55" s="23"/>
      <c r="K55" s="23"/>
      <c r="L55" s="23"/>
      <c r="M55" s="23"/>
      <c r="N55" s="23"/>
      <c r="O55" s="23"/>
      <c r="P55" s="23"/>
      <c r="Q55" s="23"/>
    </row>
    <row r="56" spans="4:17" ht="20" customHeight="1">
      <c r="D56" s="23"/>
      <c r="E56" s="23"/>
      <c r="F56" s="23"/>
      <c r="G56" s="23"/>
      <c r="H56" s="23"/>
      <c r="I56" s="23"/>
      <c r="J56" s="23"/>
      <c r="K56" s="23"/>
      <c r="L56" s="23"/>
      <c r="M56" s="23"/>
      <c r="N56" s="23"/>
      <c r="O56" s="23"/>
      <c r="P56" s="23"/>
      <c r="Q56" s="23"/>
    </row>
    <row r="57" spans="4:17" ht="20" customHeight="1">
      <c r="D57" s="23"/>
      <c r="E57" s="23"/>
      <c r="F57" s="23"/>
      <c r="G57" s="23"/>
      <c r="H57" s="23"/>
      <c r="I57" s="23"/>
      <c r="J57" s="23"/>
      <c r="K57" s="23"/>
      <c r="L57" s="23"/>
      <c r="M57" s="23"/>
      <c r="N57" s="23"/>
      <c r="O57" s="23"/>
      <c r="P57" s="23"/>
      <c r="Q57" s="23"/>
    </row>
    <row r="58" spans="4:17" ht="20" customHeight="1">
      <c r="D58" s="23"/>
      <c r="E58" s="23"/>
      <c r="F58" s="23"/>
      <c r="G58" s="23"/>
      <c r="H58" s="23"/>
      <c r="I58" s="23"/>
      <c r="J58" s="23"/>
      <c r="K58" s="23"/>
      <c r="L58" s="23"/>
      <c r="M58" s="23"/>
      <c r="N58" s="23"/>
      <c r="O58" s="23"/>
      <c r="P58" s="23"/>
      <c r="Q58" s="23"/>
    </row>
    <row r="59" spans="4:17" ht="20" customHeight="1">
      <c r="D59" s="23"/>
      <c r="E59" s="23"/>
      <c r="F59" s="23"/>
      <c r="G59" s="23"/>
      <c r="H59" s="23"/>
      <c r="I59" s="23"/>
      <c r="J59" s="23"/>
      <c r="K59" s="23"/>
      <c r="L59" s="23"/>
      <c r="M59" s="23"/>
      <c r="N59" s="23"/>
      <c r="O59" s="23"/>
      <c r="P59" s="23"/>
      <c r="Q59" s="23"/>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27"/>
  <sheetViews>
    <sheetView zoomScale="60" zoomScaleNormal="60" workbookViewId="0">
      <selection activeCell="H3" sqref="H3"/>
    </sheetView>
  </sheetViews>
  <sheetFormatPr defaultColWidth="9.1328125" defaultRowHeight="14.25"/>
  <cols>
    <col min="1" max="1" width="6.33203125" style="1" customWidth="1"/>
    <col min="2" max="2" width="19" style="2" customWidth="1"/>
    <col min="3" max="6" width="19" style="1" customWidth="1"/>
    <col min="7" max="8" width="19.46484375" style="1" customWidth="1"/>
    <col min="9" max="11" width="19" style="2" customWidth="1"/>
    <col min="12" max="13" width="19" style="1" customWidth="1"/>
    <col min="14" max="21" width="9.1328125" style="1"/>
    <col min="22" max="22" width="14.6640625" style="1" bestFit="1" customWidth="1"/>
    <col min="23" max="16384" width="9.1328125" style="1"/>
  </cols>
  <sheetData>
    <row r="1" spans="1:23" ht="17.25">
      <c r="A1" s="4" t="s">
        <v>1358</v>
      </c>
      <c r="B1" s="4" t="s">
        <v>1389</v>
      </c>
      <c r="C1" s="4" t="s">
        <v>0</v>
      </c>
      <c r="D1" s="4" t="s">
        <v>1</v>
      </c>
      <c r="E1" s="4" t="s">
        <v>2</v>
      </c>
      <c r="F1" s="4" t="s">
        <v>3</v>
      </c>
      <c r="G1" s="7" t="s">
        <v>1359</v>
      </c>
      <c r="H1" s="7" t="s">
        <v>1399</v>
      </c>
      <c r="I1" s="4" t="s">
        <v>4</v>
      </c>
      <c r="J1" s="4" t="s">
        <v>5</v>
      </c>
      <c r="K1" s="4" t="s">
        <v>1366</v>
      </c>
      <c r="L1" s="4" t="s">
        <v>1367</v>
      </c>
      <c r="M1" s="4" t="s">
        <v>6</v>
      </c>
    </row>
    <row r="2" spans="1:23" ht="15.4">
      <c r="A2" s="5">
        <v>1</v>
      </c>
      <c r="B2" s="5">
        <v>18001</v>
      </c>
      <c r="C2" s="5" t="s">
        <v>7</v>
      </c>
      <c r="D2" s="5" t="s">
        <v>8</v>
      </c>
      <c r="E2" s="5" t="s">
        <v>9</v>
      </c>
      <c r="F2" s="5" t="s">
        <v>1360</v>
      </c>
      <c r="G2" s="8">
        <v>45292</v>
      </c>
      <c r="H2" s="8" t="str">
        <f t="shared" ref="H2:H65" si="0">TEXT(G2,"mmm")</f>
        <v>Jan</v>
      </c>
      <c r="I2" s="5">
        <v>4400</v>
      </c>
      <c r="J2" s="5">
        <v>3800</v>
      </c>
      <c r="K2" s="5">
        <f>student_data[[#This Row],[Total Fee]]-student_data[[#This Row],[Deposit Fee]]</f>
        <v>600</v>
      </c>
      <c r="L2" s="5" t="str">
        <f>IF(student_data[[#This Row],[Outstanding Fee]]=0,"Paid",IF(student_data[[#This Row],[Deposit Fee]]=0,"Unpaid","Partially Paid"))</f>
        <v>Partially Paid</v>
      </c>
      <c r="M2" s="5" t="s">
        <v>10</v>
      </c>
      <c r="N2"/>
    </row>
    <row r="3" spans="1:23" ht="15.4">
      <c r="A3" s="5">
        <v>2</v>
      </c>
      <c r="B3" s="5">
        <v>18002</v>
      </c>
      <c r="C3" s="5" t="s">
        <v>11</v>
      </c>
      <c r="D3" s="5" t="s">
        <v>12</v>
      </c>
      <c r="E3" s="5" t="s">
        <v>9</v>
      </c>
      <c r="F3" s="5" t="s">
        <v>1360</v>
      </c>
      <c r="G3" s="8">
        <v>45293</v>
      </c>
      <c r="H3" s="8" t="str">
        <f t="shared" si="0"/>
        <v>Jan</v>
      </c>
      <c r="I3" s="5">
        <v>4400</v>
      </c>
      <c r="J3" s="5">
        <v>1800</v>
      </c>
      <c r="K3" s="5">
        <f>student_data[[#This Row],[Total Fee]]-student_data[[#This Row],[Deposit Fee]]</f>
        <v>2600</v>
      </c>
      <c r="L3" s="5" t="str">
        <f>IF(student_data[[#This Row],[Outstanding Fee]]=0,"Paid",IF(student_data[[#This Row],[Deposit Fee]]=0,"Unpaid","Partially Paid"))</f>
        <v>Partially Paid</v>
      </c>
      <c r="M3" s="5" t="s">
        <v>13</v>
      </c>
      <c r="O3"/>
      <c r="P3"/>
      <c r="Q3"/>
      <c r="R3"/>
      <c r="S3"/>
      <c r="T3"/>
      <c r="U3"/>
      <c r="V3"/>
      <c r="W3"/>
    </row>
    <row r="4" spans="1:23" ht="15.4">
      <c r="A4" s="5">
        <v>3</v>
      </c>
      <c r="B4" s="5">
        <v>18003</v>
      </c>
      <c r="C4" s="5" t="s">
        <v>14</v>
      </c>
      <c r="D4" s="5" t="s">
        <v>15</v>
      </c>
      <c r="E4" s="5" t="s">
        <v>9</v>
      </c>
      <c r="F4" s="5" t="s">
        <v>1360</v>
      </c>
      <c r="G4" s="8">
        <v>45293</v>
      </c>
      <c r="H4" s="8" t="str">
        <f t="shared" si="0"/>
        <v>Jan</v>
      </c>
      <c r="I4" s="5">
        <v>4400</v>
      </c>
      <c r="J4" s="5">
        <v>4400</v>
      </c>
      <c r="K4" s="5">
        <f>student_data[[#This Row],[Total Fee]]-student_data[[#This Row],[Deposit Fee]]</f>
        <v>0</v>
      </c>
      <c r="L4" s="5" t="str">
        <f>IF(student_data[[#This Row],[Outstanding Fee]]=0,"Paid",IF(student_data[[#This Row],[Deposit Fee]]=0,"Unpaid","Partially Paid"))</f>
        <v>Paid</v>
      </c>
      <c r="M4" s="5" t="s">
        <v>16</v>
      </c>
      <c r="N4"/>
      <c r="O4"/>
      <c r="P4"/>
      <c r="Q4"/>
      <c r="R4"/>
      <c r="S4"/>
      <c r="T4"/>
      <c r="U4"/>
      <c r="V4"/>
      <c r="W4"/>
    </row>
    <row r="5" spans="1:23" ht="15.4">
      <c r="A5" s="5">
        <v>4</v>
      </c>
      <c r="B5" s="5">
        <v>18004</v>
      </c>
      <c r="C5" s="5" t="s">
        <v>17</v>
      </c>
      <c r="D5" s="5" t="s">
        <v>18</v>
      </c>
      <c r="E5" s="5" t="s">
        <v>9</v>
      </c>
      <c r="F5" s="5" t="s">
        <v>1360</v>
      </c>
      <c r="G5" s="8">
        <v>45293</v>
      </c>
      <c r="H5" s="8" t="str">
        <f t="shared" si="0"/>
        <v>Jan</v>
      </c>
      <c r="I5" s="5">
        <v>4400</v>
      </c>
      <c r="J5" s="5">
        <v>4400</v>
      </c>
      <c r="K5" s="5">
        <f>student_data[[#This Row],[Total Fee]]-student_data[[#This Row],[Deposit Fee]]</f>
        <v>0</v>
      </c>
      <c r="L5" s="5" t="str">
        <f>IF(student_data[[#This Row],[Outstanding Fee]]=0,"Paid",IF(student_data[[#This Row],[Deposit Fee]]=0,"Unpaid","Partially Paid"))</f>
        <v>Paid</v>
      </c>
      <c r="M5" s="5" t="s">
        <v>19</v>
      </c>
      <c r="N5"/>
      <c r="O5"/>
      <c r="P5"/>
      <c r="Q5"/>
      <c r="R5"/>
      <c r="S5"/>
      <c r="T5"/>
      <c r="U5"/>
      <c r="V5"/>
      <c r="W5"/>
    </row>
    <row r="6" spans="1:23" ht="15.4">
      <c r="A6" s="5">
        <v>5</v>
      </c>
      <c r="B6" s="5">
        <v>18005</v>
      </c>
      <c r="C6" s="5" t="s">
        <v>20</v>
      </c>
      <c r="D6" s="5" t="s">
        <v>21</v>
      </c>
      <c r="E6" s="5" t="s">
        <v>9</v>
      </c>
      <c r="F6" s="5" t="s">
        <v>1360</v>
      </c>
      <c r="G6" s="8">
        <v>45293</v>
      </c>
      <c r="H6" s="8" t="str">
        <f t="shared" si="0"/>
        <v>Jan</v>
      </c>
      <c r="I6" s="5">
        <v>4400</v>
      </c>
      <c r="J6" s="5">
        <v>500</v>
      </c>
      <c r="K6" s="5">
        <f>student_data[[#This Row],[Total Fee]]-student_data[[#This Row],[Deposit Fee]]</f>
        <v>3900</v>
      </c>
      <c r="L6" s="5" t="str">
        <f>IF(student_data[[#This Row],[Outstanding Fee]]=0,"Paid",IF(student_data[[#This Row],[Deposit Fee]]=0,"Unpaid","Partially Paid"))</f>
        <v>Partially Paid</v>
      </c>
      <c r="M6" s="5" t="s">
        <v>22</v>
      </c>
      <c r="N6"/>
      <c r="O6"/>
      <c r="P6"/>
      <c r="Q6"/>
      <c r="R6"/>
      <c r="S6"/>
      <c r="T6"/>
      <c r="U6"/>
      <c r="V6"/>
      <c r="W6"/>
    </row>
    <row r="7" spans="1:23" ht="15.4">
      <c r="A7" s="5">
        <v>6</v>
      </c>
      <c r="B7" s="5">
        <v>18006</v>
      </c>
      <c r="C7" s="5" t="s">
        <v>23</v>
      </c>
      <c r="D7" s="5" t="s">
        <v>24</v>
      </c>
      <c r="E7" s="5" t="s">
        <v>25</v>
      </c>
      <c r="F7" s="5" t="s">
        <v>1360</v>
      </c>
      <c r="G7" s="8">
        <v>45293</v>
      </c>
      <c r="H7" s="8" t="str">
        <f t="shared" si="0"/>
        <v>Jan</v>
      </c>
      <c r="I7" s="5">
        <v>4400</v>
      </c>
      <c r="J7" s="5">
        <v>3800</v>
      </c>
      <c r="K7" s="5">
        <f>student_data[[#This Row],[Total Fee]]-student_data[[#This Row],[Deposit Fee]]</f>
        <v>600</v>
      </c>
      <c r="L7" s="5" t="str">
        <f>IF(student_data[[#This Row],[Outstanding Fee]]=0,"Paid",IF(student_data[[#This Row],[Deposit Fee]]=0,"Unpaid","Partially Paid"))</f>
        <v>Partially Paid</v>
      </c>
      <c r="M7" s="5" t="s">
        <v>26</v>
      </c>
      <c r="N7"/>
      <c r="O7"/>
      <c r="P7"/>
      <c r="Q7"/>
      <c r="R7"/>
      <c r="S7"/>
      <c r="T7"/>
      <c r="U7"/>
      <c r="V7"/>
      <c r="W7"/>
    </row>
    <row r="8" spans="1:23" ht="15.4">
      <c r="A8" s="5">
        <v>7</v>
      </c>
      <c r="B8" s="5">
        <v>18007</v>
      </c>
      <c r="C8" s="5" t="s">
        <v>27</v>
      </c>
      <c r="D8" s="5" t="s">
        <v>28</v>
      </c>
      <c r="E8" s="5" t="s">
        <v>9</v>
      </c>
      <c r="F8" s="5" t="s">
        <v>1360</v>
      </c>
      <c r="G8" s="8">
        <v>45294</v>
      </c>
      <c r="H8" s="8" t="str">
        <f t="shared" si="0"/>
        <v>Jan</v>
      </c>
      <c r="I8" s="5">
        <v>4400</v>
      </c>
      <c r="J8" s="5">
        <v>4400</v>
      </c>
      <c r="K8" s="5">
        <f>student_data[[#This Row],[Total Fee]]-student_data[[#This Row],[Deposit Fee]]</f>
        <v>0</v>
      </c>
      <c r="L8" s="5" t="str">
        <f>IF(student_data[[#This Row],[Outstanding Fee]]=0,"Paid",IF(student_data[[#This Row],[Deposit Fee]]=0,"Unpaid","Partially Paid"))</f>
        <v>Paid</v>
      </c>
      <c r="M8" s="5" t="s">
        <v>29</v>
      </c>
      <c r="N8"/>
      <c r="O8"/>
      <c r="P8"/>
      <c r="Q8"/>
      <c r="R8"/>
      <c r="S8"/>
      <c r="T8"/>
      <c r="U8"/>
      <c r="V8"/>
      <c r="W8"/>
    </row>
    <row r="9" spans="1:23" ht="15.4">
      <c r="A9" s="5">
        <v>8</v>
      </c>
      <c r="B9" s="5">
        <v>18008</v>
      </c>
      <c r="C9" s="5" t="s">
        <v>30</v>
      </c>
      <c r="D9" s="5" t="s">
        <v>31</v>
      </c>
      <c r="E9" s="5" t="s">
        <v>25</v>
      </c>
      <c r="F9" s="5" t="s">
        <v>1360</v>
      </c>
      <c r="G9" s="8">
        <v>45294</v>
      </c>
      <c r="H9" s="8" t="str">
        <f t="shared" si="0"/>
        <v>Jan</v>
      </c>
      <c r="I9" s="5">
        <v>4400</v>
      </c>
      <c r="J9" s="5">
        <v>4400</v>
      </c>
      <c r="K9" s="5">
        <f>student_data[[#This Row],[Total Fee]]-student_data[[#This Row],[Deposit Fee]]</f>
        <v>0</v>
      </c>
      <c r="L9" s="5" t="str">
        <f>IF(student_data[[#This Row],[Outstanding Fee]]=0,"Paid",IF(student_data[[#This Row],[Deposit Fee]]=0,"Unpaid","Partially Paid"))</f>
        <v>Paid</v>
      </c>
      <c r="M9" s="5" t="s">
        <v>32</v>
      </c>
      <c r="N9"/>
      <c r="O9"/>
      <c r="P9"/>
      <c r="Q9"/>
      <c r="R9"/>
      <c r="S9"/>
      <c r="T9"/>
      <c r="U9"/>
      <c r="V9"/>
      <c r="W9"/>
    </row>
    <row r="10" spans="1:23" ht="15.4">
      <c r="A10" s="5">
        <v>9</v>
      </c>
      <c r="B10" s="5">
        <v>18009</v>
      </c>
      <c r="C10" s="5" t="s">
        <v>33</v>
      </c>
      <c r="D10" s="5" t="s">
        <v>34</v>
      </c>
      <c r="E10" s="5" t="s">
        <v>9</v>
      </c>
      <c r="F10" s="5" t="s">
        <v>1360</v>
      </c>
      <c r="G10" s="8">
        <v>45294</v>
      </c>
      <c r="H10" s="8" t="str">
        <f t="shared" si="0"/>
        <v>Jan</v>
      </c>
      <c r="I10" s="5">
        <v>4400</v>
      </c>
      <c r="J10" s="5">
        <v>4400</v>
      </c>
      <c r="K10" s="5">
        <f>student_data[[#This Row],[Total Fee]]-student_data[[#This Row],[Deposit Fee]]</f>
        <v>0</v>
      </c>
      <c r="L10" s="5" t="str">
        <f>IF(student_data[[#This Row],[Outstanding Fee]]=0,"Paid",IF(student_data[[#This Row],[Deposit Fee]]=0,"Unpaid","Partially Paid"))</f>
        <v>Paid</v>
      </c>
      <c r="M10" s="5" t="s">
        <v>35</v>
      </c>
      <c r="N10"/>
      <c r="O10"/>
      <c r="P10"/>
      <c r="Q10"/>
      <c r="R10"/>
      <c r="S10"/>
      <c r="T10"/>
      <c r="U10"/>
      <c r="V10"/>
      <c r="W10"/>
    </row>
    <row r="11" spans="1:23" ht="15.4">
      <c r="A11" s="5">
        <v>10</v>
      </c>
      <c r="B11" s="5">
        <v>18010</v>
      </c>
      <c r="C11" s="5" t="s">
        <v>36</v>
      </c>
      <c r="D11" s="5" t="s">
        <v>37</v>
      </c>
      <c r="E11" s="5" t="s">
        <v>25</v>
      </c>
      <c r="F11" s="5" t="s">
        <v>1360</v>
      </c>
      <c r="G11" s="8">
        <v>45294</v>
      </c>
      <c r="H11" s="8" t="str">
        <f t="shared" si="0"/>
        <v>Jan</v>
      </c>
      <c r="I11" s="5">
        <v>4400</v>
      </c>
      <c r="J11" s="5">
        <v>3800</v>
      </c>
      <c r="K11" s="5">
        <f>student_data[[#This Row],[Total Fee]]-student_data[[#This Row],[Deposit Fee]]</f>
        <v>600</v>
      </c>
      <c r="L11" s="5" t="str">
        <f>IF(student_data[[#This Row],[Outstanding Fee]]=0,"Paid",IF(student_data[[#This Row],[Deposit Fee]]=0,"Unpaid","Partially Paid"))</f>
        <v>Partially Paid</v>
      </c>
      <c r="M11" s="5" t="s">
        <v>38</v>
      </c>
      <c r="N11"/>
      <c r="O11"/>
      <c r="P11"/>
      <c r="Q11"/>
      <c r="R11"/>
      <c r="S11"/>
      <c r="T11"/>
      <c r="U11"/>
      <c r="V11"/>
      <c r="W11"/>
    </row>
    <row r="12" spans="1:23" ht="15.4">
      <c r="A12" s="5">
        <v>11</v>
      </c>
      <c r="B12" s="5">
        <v>18011</v>
      </c>
      <c r="C12" s="5" t="s">
        <v>39</v>
      </c>
      <c r="D12" s="5" t="s">
        <v>40</v>
      </c>
      <c r="E12" s="5" t="s">
        <v>9</v>
      </c>
      <c r="F12" s="5" t="s">
        <v>1360</v>
      </c>
      <c r="G12" s="8">
        <v>45295</v>
      </c>
      <c r="H12" s="8" t="str">
        <f t="shared" si="0"/>
        <v>Jan</v>
      </c>
      <c r="I12" s="5">
        <v>4400</v>
      </c>
      <c r="J12" s="5">
        <v>4000</v>
      </c>
      <c r="K12" s="5">
        <f>student_data[[#This Row],[Total Fee]]-student_data[[#This Row],[Deposit Fee]]</f>
        <v>400</v>
      </c>
      <c r="L12" s="5" t="str">
        <f>IF(student_data[[#This Row],[Outstanding Fee]]=0,"Paid",IF(student_data[[#This Row],[Deposit Fee]]=0,"Unpaid","Partially Paid"))</f>
        <v>Partially Paid</v>
      </c>
      <c r="M12" s="5" t="s">
        <v>22</v>
      </c>
      <c r="N12"/>
      <c r="O12"/>
      <c r="P12"/>
      <c r="Q12"/>
      <c r="R12"/>
      <c r="S12"/>
      <c r="T12"/>
      <c r="U12"/>
      <c r="V12"/>
      <c r="W12"/>
    </row>
    <row r="13" spans="1:23" ht="15.4">
      <c r="A13" s="5">
        <v>12</v>
      </c>
      <c r="B13" s="5">
        <v>18012</v>
      </c>
      <c r="C13" s="5" t="s">
        <v>41</v>
      </c>
      <c r="D13" s="5" t="s">
        <v>42</v>
      </c>
      <c r="E13" s="5" t="s">
        <v>9</v>
      </c>
      <c r="F13" s="5" t="s">
        <v>1360</v>
      </c>
      <c r="G13" s="8">
        <v>45295</v>
      </c>
      <c r="H13" s="8" t="str">
        <f t="shared" si="0"/>
        <v>Jan</v>
      </c>
      <c r="I13" s="5">
        <v>4400</v>
      </c>
      <c r="J13" s="5">
        <v>1200</v>
      </c>
      <c r="K13" s="5">
        <f>student_data[[#This Row],[Total Fee]]-student_data[[#This Row],[Deposit Fee]]</f>
        <v>3200</v>
      </c>
      <c r="L13" s="5" t="str">
        <f>IF(student_data[[#This Row],[Outstanding Fee]]=0,"Paid",IF(student_data[[#This Row],[Deposit Fee]]=0,"Unpaid","Partially Paid"))</f>
        <v>Partially Paid</v>
      </c>
      <c r="M13" s="5" t="s">
        <v>26</v>
      </c>
      <c r="N13"/>
      <c r="O13"/>
      <c r="P13"/>
      <c r="Q13"/>
      <c r="R13"/>
      <c r="S13"/>
      <c r="T13"/>
      <c r="U13"/>
      <c r="V13"/>
      <c r="W13"/>
    </row>
    <row r="14" spans="1:23" ht="15.4">
      <c r="A14" s="5">
        <v>13</v>
      </c>
      <c r="B14" s="5">
        <v>18013</v>
      </c>
      <c r="C14" s="5" t="s">
        <v>43</v>
      </c>
      <c r="D14" s="5" t="s">
        <v>44</v>
      </c>
      <c r="E14" s="5" t="s">
        <v>25</v>
      </c>
      <c r="F14" s="5" t="s">
        <v>1360</v>
      </c>
      <c r="G14" s="8">
        <v>45296</v>
      </c>
      <c r="H14" s="8" t="str">
        <f t="shared" si="0"/>
        <v>Jan</v>
      </c>
      <c r="I14" s="5">
        <v>4400</v>
      </c>
      <c r="J14" s="5">
        <v>3800</v>
      </c>
      <c r="K14" s="5">
        <f>student_data[[#This Row],[Total Fee]]-student_data[[#This Row],[Deposit Fee]]</f>
        <v>600</v>
      </c>
      <c r="L14" s="5" t="str">
        <f>IF(student_data[[#This Row],[Outstanding Fee]]=0,"Paid",IF(student_data[[#This Row],[Deposit Fee]]=0,"Unpaid","Partially Paid"))</f>
        <v>Partially Paid</v>
      </c>
      <c r="M14" s="5" t="s">
        <v>10</v>
      </c>
      <c r="N14"/>
      <c r="O14"/>
      <c r="P14"/>
      <c r="Q14"/>
      <c r="R14"/>
      <c r="S14"/>
      <c r="T14"/>
      <c r="U14"/>
      <c r="V14"/>
      <c r="W14"/>
    </row>
    <row r="15" spans="1:23" ht="15.4">
      <c r="A15" s="5">
        <v>14</v>
      </c>
      <c r="B15" s="5">
        <v>18014</v>
      </c>
      <c r="C15" s="5" t="s">
        <v>45</v>
      </c>
      <c r="D15" s="5" t="s">
        <v>46</v>
      </c>
      <c r="E15" s="5" t="s">
        <v>25</v>
      </c>
      <c r="F15" s="5" t="s">
        <v>1360</v>
      </c>
      <c r="G15" s="8">
        <v>45296</v>
      </c>
      <c r="H15" s="8" t="str">
        <f t="shared" si="0"/>
        <v>Jan</v>
      </c>
      <c r="I15" s="5">
        <v>4400</v>
      </c>
      <c r="J15" s="5">
        <v>4400</v>
      </c>
      <c r="K15" s="5">
        <f>student_data[[#This Row],[Total Fee]]-student_data[[#This Row],[Deposit Fee]]</f>
        <v>0</v>
      </c>
      <c r="L15" s="5" t="str">
        <f>IF(student_data[[#This Row],[Outstanding Fee]]=0,"Paid",IF(student_data[[#This Row],[Deposit Fee]]=0,"Unpaid","Partially Paid"))</f>
        <v>Paid</v>
      </c>
      <c r="M15" s="5" t="s">
        <v>47</v>
      </c>
      <c r="N15"/>
      <c r="O15"/>
      <c r="P15"/>
      <c r="Q15"/>
      <c r="R15"/>
      <c r="S15"/>
      <c r="T15"/>
      <c r="U15"/>
      <c r="V15"/>
      <c r="W15"/>
    </row>
    <row r="16" spans="1:23" ht="15.4">
      <c r="A16" s="5">
        <v>15</v>
      </c>
      <c r="B16" s="5">
        <v>18015</v>
      </c>
      <c r="C16" s="5" t="s">
        <v>48</v>
      </c>
      <c r="D16" s="5" t="s">
        <v>49</v>
      </c>
      <c r="E16" s="5" t="s">
        <v>9</v>
      </c>
      <c r="F16" s="5" t="s">
        <v>1360</v>
      </c>
      <c r="G16" s="8">
        <v>45296</v>
      </c>
      <c r="H16" s="8" t="str">
        <f t="shared" si="0"/>
        <v>Jan</v>
      </c>
      <c r="I16" s="5">
        <v>4400</v>
      </c>
      <c r="J16" s="5">
        <v>3800</v>
      </c>
      <c r="K16" s="5">
        <f>student_data[[#This Row],[Total Fee]]-student_data[[#This Row],[Deposit Fee]]</f>
        <v>600</v>
      </c>
      <c r="L16" s="5" t="str">
        <f>IF(student_data[[#This Row],[Outstanding Fee]]=0,"Paid",IF(student_data[[#This Row],[Deposit Fee]]=0,"Unpaid","Partially Paid"))</f>
        <v>Partially Paid</v>
      </c>
      <c r="M16" s="5" t="s">
        <v>50</v>
      </c>
      <c r="N16"/>
      <c r="O16"/>
      <c r="P16"/>
      <c r="Q16"/>
      <c r="R16"/>
      <c r="S16"/>
      <c r="T16"/>
      <c r="U16"/>
      <c r="V16"/>
      <c r="W16"/>
    </row>
    <row r="17" spans="1:23" ht="15.4">
      <c r="A17" s="5">
        <v>792</v>
      </c>
      <c r="B17" s="5">
        <v>18792</v>
      </c>
      <c r="C17" s="5" t="s">
        <v>1220</v>
      </c>
      <c r="D17" s="5" t="s">
        <v>1221</v>
      </c>
      <c r="E17" s="5" t="s">
        <v>9</v>
      </c>
      <c r="F17" s="5" t="s">
        <v>1360</v>
      </c>
      <c r="G17" s="8">
        <v>45297</v>
      </c>
      <c r="H17" s="8" t="str">
        <f t="shared" si="0"/>
        <v>Jan</v>
      </c>
      <c r="I17" s="5">
        <v>4400</v>
      </c>
      <c r="J17" s="5">
        <v>4400</v>
      </c>
      <c r="K17" s="5">
        <f>student_data[[#This Row],[Total Fee]]-student_data[[#This Row],[Deposit Fee]]</f>
        <v>0</v>
      </c>
      <c r="L17" s="5" t="str">
        <f>IF(student_data[[#This Row],[Outstanding Fee]]=0,"Paid",IF(student_data[[#This Row],[Deposit Fee]]=0,"Unpaid","Partially Paid"))</f>
        <v>Paid</v>
      </c>
      <c r="M17" s="5" t="s">
        <v>75</v>
      </c>
      <c r="N17"/>
      <c r="O17"/>
      <c r="P17"/>
      <c r="Q17"/>
      <c r="R17"/>
      <c r="S17"/>
      <c r="T17"/>
      <c r="U17"/>
      <c r="V17"/>
      <c r="W17"/>
    </row>
    <row r="18" spans="1:23" ht="15.4">
      <c r="A18" s="5">
        <v>793</v>
      </c>
      <c r="B18" s="5">
        <v>18793</v>
      </c>
      <c r="C18" s="5" t="s">
        <v>1222</v>
      </c>
      <c r="D18" s="5" t="s">
        <v>1063</v>
      </c>
      <c r="E18" s="5" t="s">
        <v>25</v>
      </c>
      <c r="F18" s="5" t="s">
        <v>1360</v>
      </c>
      <c r="G18" s="8">
        <v>45297</v>
      </c>
      <c r="H18" s="8" t="str">
        <f t="shared" si="0"/>
        <v>Jan</v>
      </c>
      <c r="I18" s="5">
        <v>4400</v>
      </c>
      <c r="J18" s="5">
        <v>4400</v>
      </c>
      <c r="K18" s="5">
        <f>student_data[[#This Row],[Total Fee]]-student_data[[#This Row],[Deposit Fee]]</f>
        <v>0</v>
      </c>
      <c r="L18" s="5" t="str">
        <f>IF(student_data[[#This Row],[Outstanding Fee]]=0,"Paid",IF(student_data[[#This Row],[Deposit Fee]]=0,"Unpaid","Partially Paid"))</f>
        <v>Paid</v>
      </c>
      <c r="M18" s="5" t="s">
        <v>89</v>
      </c>
      <c r="N18"/>
      <c r="O18"/>
      <c r="P18"/>
      <c r="Q18"/>
      <c r="R18"/>
      <c r="S18"/>
      <c r="T18"/>
      <c r="U18"/>
      <c r="V18"/>
      <c r="W18"/>
    </row>
    <row r="19" spans="1:23" ht="15.4">
      <c r="A19" s="5">
        <v>827</v>
      </c>
      <c r="B19" s="5">
        <v>18827</v>
      </c>
      <c r="C19" s="5" t="s">
        <v>1268</v>
      </c>
      <c r="D19" s="5" t="s">
        <v>1269</v>
      </c>
      <c r="E19" s="5" t="s">
        <v>9</v>
      </c>
      <c r="F19" s="5" t="s">
        <v>1360</v>
      </c>
      <c r="G19" s="8">
        <v>45297</v>
      </c>
      <c r="H19" s="8" t="str">
        <f t="shared" si="0"/>
        <v>Jan</v>
      </c>
      <c r="I19" s="5">
        <v>4400</v>
      </c>
      <c r="J19" s="5">
        <v>3800</v>
      </c>
      <c r="K19" s="5">
        <f>student_data[[#This Row],[Total Fee]]-student_data[[#This Row],[Deposit Fee]]</f>
        <v>600</v>
      </c>
      <c r="L19" s="5" t="str">
        <f>IF(student_data[[#This Row],[Outstanding Fee]]=0,"Paid",IF(student_data[[#This Row],[Deposit Fee]]=0,"Unpaid","Partially Paid"))</f>
        <v>Partially Paid</v>
      </c>
      <c r="M19" s="5" t="s">
        <v>78</v>
      </c>
      <c r="N19"/>
      <c r="O19"/>
      <c r="P19"/>
      <c r="Q19"/>
      <c r="R19"/>
      <c r="S19"/>
      <c r="T19"/>
      <c r="U19"/>
      <c r="V19"/>
      <c r="W19"/>
    </row>
    <row r="20" spans="1:23" ht="15.4">
      <c r="A20" s="5">
        <v>657</v>
      </c>
      <c r="B20" s="5">
        <v>18657</v>
      </c>
      <c r="C20" s="5" t="s">
        <v>156</v>
      </c>
      <c r="D20" s="5" t="s">
        <v>1029</v>
      </c>
      <c r="E20" s="5" t="s">
        <v>9</v>
      </c>
      <c r="F20" s="5" t="s">
        <v>1360</v>
      </c>
      <c r="G20" s="8">
        <v>45299</v>
      </c>
      <c r="H20" s="8" t="str">
        <f t="shared" si="0"/>
        <v>Jan</v>
      </c>
      <c r="I20" s="5">
        <v>4400</v>
      </c>
      <c r="J20" s="5">
        <v>4400</v>
      </c>
      <c r="K20" s="5">
        <f>student_data[[#This Row],[Total Fee]]-student_data[[#This Row],[Deposit Fee]]</f>
        <v>0</v>
      </c>
      <c r="L20" s="5" t="str">
        <f>IF(student_data[[#This Row],[Outstanding Fee]]=0,"Paid",IF(student_data[[#This Row],[Deposit Fee]]=0,"Unpaid","Partially Paid"))</f>
        <v>Paid</v>
      </c>
      <c r="M20" s="5" t="s">
        <v>16</v>
      </c>
      <c r="N20"/>
      <c r="O20"/>
      <c r="P20"/>
      <c r="Q20"/>
      <c r="R20"/>
      <c r="S20"/>
      <c r="T20"/>
      <c r="U20"/>
      <c r="V20"/>
      <c r="W20"/>
    </row>
    <row r="21" spans="1:23" ht="15.4">
      <c r="A21" s="5">
        <v>658</v>
      </c>
      <c r="B21" s="5">
        <v>18658</v>
      </c>
      <c r="C21" s="5" t="s">
        <v>1030</v>
      </c>
      <c r="D21" s="5" t="s">
        <v>1031</v>
      </c>
      <c r="E21" s="5" t="s">
        <v>25</v>
      </c>
      <c r="F21" s="5" t="s">
        <v>1360</v>
      </c>
      <c r="G21" s="8">
        <v>45299</v>
      </c>
      <c r="H21" s="8" t="str">
        <f t="shared" si="0"/>
        <v>Jan</v>
      </c>
      <c r="I21" s="5">
        <v>4400</v>
      </c>
      <c r="J21" s="5">
        <v>4400</v>
      </c>
      <c r="K21" s="5">
        <f>student_data[[#This Row],[Total Fee]]-student_data[[#This Row],[Deposit Fee]]</f>
        <v>0</v>
      </c>
      <c r="L21" s="5" t="str">
        <f>IF(student_data[[#This Row],[Outstanding Fee]]=0,"Paid",IF(student_data[[#This Row],[Deposit Fee]]=0,"Unpaid","Partially Paid"))</f>
        <v>Paid</v>
      </c>
      <c r="M21" s="5" t="s">
        <v>19</v>
      </c>
      <c r="N21"/>
      <c r="O21"/>
      <c r="P21"/>
      <c r="Q21"/>
      <c r="R21"/>
      <c r="S21"/>
      <c r="T21"/>
      <c r="U21"/>
      <c r="V21"/>
      <c r="W21"/>
    </row>
    <row r="22" spans="1:23" ht="15.4">
      <c r="A22" s="5">
        <v>828</v>
      </c>
      <c r="B22" s="5">
        <v>18828</v>
      </c>
      <c r="C22" s="5" t="s">
        <v>1270</v>
      </c>
      <c r="D22" s="5" t="s">
        <v>1124</v>
      </c>
      <c r="E22" s="5" t="s">
        <v>9</v>
      </c>
      <c r="F22" s="5" t="s">
        <v>1360</v>
      </c>
      <c r="G22" s="8">
        <v>45299</v>
      </c>
      <c r="H22" s="8" t="str">
        <f t="shared" si="0"/>
        <v>Jan</v>
      </c>
      <c r="I22" s="5">
        <v>4400</v>
      </c>
      <c r="J22" s="5">
        <v>4400</v>
      </c>
      <c r="K22" s="5">
        <f>student_data[[#This Row],[Total Fee]]-student_data[[#This Row],[Deposit Fee]]</f>
        <v>0</v>
      </c>
      <c r="L22" s="5" t="str">
        <f>IF(student_data[[#This Row],[Outstanding Fee]]=0,"Paid",IF(student_data[[#This Row],[Deposit Fee]]=0,"Unpaid","Partially Paid"))</f>
        <v>Paid</v>
      </c>
      <c r="M22" s="5" t="s">
        <v>16</v>
      </c>
      <c r="N22"/>
      <c r="O22"/>
      <c r="P22"/>
      <c r="Q22"/>
      <c r="R22"/>
      <c r="S22"/>
      <c r="T22"/>
      <c r="U22"/>
      <c r="V22"/>
      <c r="W22"/>
    </row>
    <row r="23" spans="1:23" ht="15.4">
      <c r="A23" s="5">
        <v>829</v>
      </c>
      <c r="B23" s="5">
        <v>18829</v>
      </c>
      <c r="C23" s="5" t="s">
        <v>1271</v>
      </c>
      <c r="D23" s="5" t="s">
        <v>1272</v>
      </c>
      <c r="E23" s="5" t="s">
        <v>9</v>
      </c>
      <c r="F23" s="5" t="s">
        <v>1360</v>
      </c>
      <c r="G23" s="8">
        <v>45299</v>
      </c>
      <c r="H23" s="8" t="str">
        <f t="shared" si="0"/>
        <v>Jan</v>
      </c>
      <c r="I23" s="5">
        <v>4400</v>
      </c>
      <c r="J23" s="5">
        <v>3800</v>
      </c>
      <c r="K23" s="5">
        <f>student_data[[#This Row],[Total Fee]]-student_data[[#This Row],[Deposit Fee]]</f>
        <v>600</v>
      </c>
      <c r="L23" s="5" t="str">
        <f>IF(student_data[[#This Row],[Outstanding Fee]]=0,"Paid",IF(student_data[[#This Row],[Deposit Fee]]=0,"Unpaid","Partially Paid"))</f>
        <v>Partially Paid</v>
      </c>
      <c r="M23" s="5" t="s">
        <v>19</v>
      </c>
      <c r="N23"/>
      <c r="O23"/>
      <c r="P23"/>
      <c r="Q23"/>
      <c r="R23"/>
      <c r="S23"/>
      <c r="T23"/>
      <c r="U23"/>
      <c r="V23"/>
      <c r="W23"/>
    </row>
    <row r="24" spans="1:23" ht="15.4">
      <c r="A24" s="5">
        <v>659</v>
      </c>
      <c r="B24" s="5">
        <v>18659</v>
      </c>
      <c r="C24" s="5" t="s">
        <v>1032</v>
      </c>
      <c r="D24" s="5" t="s">
        <v>1033</v>
      </c>
      <c r="E24" s="5" t="s">
        <v>25</v>
      </c>
      <c r="F24" s="5" t="s">
        <v>1360</v>
      </c>
      <c r="G24" s="8">
        <v>45300</v>
      </c>
      <c r="H24" s="8" t="str">
        <f t="shared" si="0"/>
        <v>Jan</v>
      </c>
      <c r="I24" s="5">
        <v>4400</v>
      </c>
      <c r="J24" s="5">
        <v>4000</v>
      </c>
      <c r="K24" s="5">
        <f>student_data[[#This Row],[Total Fee]]-student_data[[#This Row],[Deposit Fee]]</f>
        <v>400</v>
      </c>
      <c r="L24" s="5" t="str">
        <f>IF(student_data[[#This Row],[Outstanding Fee]]=0,"Paid",IF(student_data[[#This Row],[Deposit Fee]]=0,"Unpaid","Partially Paid"))</f>
        <v>Partially Paid</v>
      </c>
      <c r="M24" s="5" t="s">
        <v>47</v>
      </c>
      <c r="N24"/>
      <c r="O24"/>
      <c r="P24"/>
      <c r="Q24"/>
      <c r="R24"/>
      <c r="S24"/>
      <c r="T24"/>
      <c r="U24"/>
      <c r="V24"/>
      <c r="W24"/>
    </row>
    <row r="25" spans="1:23" ht="15.4">
      <c r="A25" s="5">
        <v>660</v>
      </c>
      <c r="B25" s="5">
        <v>18660</v>
      </c>
      <c r="C25" s="5" t="s">
        <v>1034</v>
      </c>
      <c r="D25" s="5" t="s">
        <v>427</v>
      </c>
      <c r="E25" s="5" t="s">
        <v>25</v>
      </c>
      <c r="F25" s="5" t="s">
        <v>1360</v>
      </c>
      <c r="G25" s="8">
        <v>45300</v>
      </c>
      <c r="H25" s="8" t="str">
        <f t="shared" si="0"/>
        <v>Jan</v>
      </c>
      <c r="I25" s="5">
        <v>4400</v>
      </c>
      <c r="J25" s="5">
        <v>4000</v>
      </c>
      <c r="K25" s="5">
        <f>student_data[[#This Row],[Total Fee]]-student_data[[#This Row],[Deposit Fee]]</f>
        <v>400</v>
      </c>
      <c r="L25" s="5" t="str">
        <f>IF(student_data[[#This Row],[Outstanding Fee]]=0,"Paid",IF(student_data[[#This Row],[Deposit Fee]]=0,"Unpaid","Partially Paid"))</f>
        <v>Partially Paid</v>
      </c>
      <c r="M25" s="5" t="s">
        <v>75</v>
      </c>
      <c r="N25"/>
      <c r="O25"/>
      <c r="P25"/>
      <c r="Q25"/>
      <c r="R25"/>
      <c r="S25"/>
      <c r="T25"/>
      <c r="U25"/>
      <c r="V25"/>
      <c r="W25"/>
    </row>
    <row r="26" spans="1:23" ht="15.4">
      <c r="A26" s="5">
        <v>605</v>
      </c>
      <c r="B26" s="5">
        <v>18605</v>
      </c>
      <c r="C26" s="5" t="s">
        <v>956</v>
      </c>
      <c r="D26" s="5" t="s">
        <v>957</v>
      </c>
      <c r="E26" s="5" t="s">
        <v>9</v>
      </c>
      <c r="F26" s="5" t="s">
        <v>1360</v>
      </c>
      <c r="G26" s="8">
        <v>45301</v>
      </c>
      <c r="H26" s="8" t="str">
        <f t="shared" si="0"/>
        <v>Jan</v>
      </c>
      <c r="I26" s="5">
        <v>4400</v>
      </c>
      <c r="J26" s="5">
        <v>3800</v>
      </c>
      <c r="K26" s="5">
        <f>student_data[[#This Row],[Total Fee]]-student_data[[#This Row],[Deposit Fee]]</f>
        <v>600</v>
      </c>
      <c r="L26" s="5" t="str">
        <f>IF(student_data[[#This Row],[Outstanding Fee]]=0,"Paid",IF(student_data[[#This Row],[Deposit Fee]]=0,"Unpaid","Partially Paid"))</f>
        <v>Partially Paid</v>
      </c>
      <c r="M26" s="5" t="s">
        <v>47</v>
      </c>
      <c r="N26"/>
      <c r="O26"/>
      <c r="P26"/>
      <c r="Q26"/>
      <c r="R26"/>
      <c r="S26"/>
      <c r="T26"/>
      <c r="U26"/>
      <c r="V26"/>
      <c r="W26"/>
    </row>
    <row r="27" spans="1:23" ht="15.4">
      <c r="A27" s="5">
        <v>606</v>
      </c>
      <c r="B27" s="5">
        <v>18606</v>
      </c>
      <c r="C27" s="5" t="s">
        <v>958</v>
      </c>
      <c r="D27" s="5" t="s">
        <v>959</v>
      </c>
      <c r="E27" s="5" t="s">
        <v>9</v>
      </c>
      <c r="F27" s="5" t="s">
        <v>1360</v>
      </c>
      <c r="G27" s="8">
        <v>45301</v>
      </c>
      <c r="H27" s="8" t="str">
        <f t="shared" si="0"/>
        <v>Jan</v>
      </c>
      <c r="I27" s="5">
        <v>4400</v>
      </c>
      <c r="J27" s="5">
        <v>3800</v>
      </c>
      <c r="K27" s="5">
        <f>student_data[[#This Row],[Total Fee]]-student_data[[#This Row],[Deposit Fee]]</f>
        <v>600</v>
      </c>
      <c r="L27" s="5" t="str">
        <f>IF(student_data[[#This Row],[Outstanding Fee]]=0,"Paid",IF(student_data[[#This Row],[Deposit Fee]]=0,"Unpaid","Partially Paid"))</f>
        <v>Partially Paid</v>
      </c>
      <c r="M27" s="5" t="s">
        <v>47</v>
      </c>
      <c r="N27"/>
      <c r="O27"/>
      <c r="P27"/>
      <c r="Q27"/>
      <c r="R27"/>
      <c r="S27"/>
      <c r="T27"/>
      <c r="U27"/>
      <c r="V27"/>
      <c r="W27"/>
    </row>
    <row r="28" spans="1:23" ht="15.4">
      <c r="A28" s="5">
        <v>607</v>
      </c>
      <c r="B28" s="5">
        <v>18607</v>
      </c>
      <c r="C28" s="5" t="s">
        <v>960</v>
      </c>
      <c r="D28" s="5" t="s">
        <v>961</v>
      </c>
      <c r="E28" s="5" t="s">
        <v>9</v>
      </c>
      <c r="F28" s="5" t="s">
        <v>1360</v>
      </c>
      <c r="G28" s="8">
        <v>45301</v>
      </c>
      <c r="H28" s="8" t="str">
        <f t="shared" si="0"/>
        <v>Jan</v>
      </c>
      <c r="I28" s="5">
        <v>4400</v>
      </c>
      <c r="J28" s="5">
        <v>4400</v>
      </c>
      <c r="K28" s="5">
        <f>student_data[[#This Row],[Total Fee]]-student_data[[#This Row],[Deposit Fee]]</f>
        <v>0</v>
      </c>
      <c r="L28" s="5" t="str">
        <f>IF(student_data[[#This Row],[Outstanding Fee]]=0,"Paid",IF(student_data[[#This Row],[Deposit Fee]]=0,"Unpaid","Partially Paid"))</f>
        <v>Paid</v>
      </c>
      <c r="M28" s="5" t="s">
        <v>78</v>
      </c>
      <c r="N28"/>
      <c r="O28"/>
      <c r="P28"/>
      <c r="Q28"/>
      <c r="R28"/>
      <c r="S28"/>
      <c r="T28"/>
      <c r="U28"/>
      <c r="V28"/>
      <c r="W28"/>
    </row>
    <row r="29" spans="1:23" ht="15.4">
      <c r="A29" s="5">
        <v>141</v>
      </c>
      <c r="B29" s="5">
        <v>18141</v>
      </c>
      <c r="C29" s="5" t="s">
        <v>252</v>
      </c>
      <c r="D29" s="5" t="s">
        <v>253</v>
      </c>
      <c r="E29" s="5" t="s">
        <v>25</v>
      </c>
      <c r="F29" s="5" t="s">
        <v>1360</v>
      </c>
      <c r="G29" s="8">
        <v>45302</v>
      </c>
      <c r="H29" s="8" t="str">
        <f t="shared" si="0"/>
        <v>Jan</v>
      </c>
      <c r="I29" s="5">
        <v>4400</v>
      </c>
      <c r="J29" s="5">
        <v>3800</v>
      </c>
      <c r="K29" s="5">
        <f>student_data[[#This Row],[Total Fee]]-student_data[[#This Row],[Deposit Fee]]</f>
        <v>600</v>
      </c>
      <c r="L29" s="5" t="str">
        <f>IF(student_data[[#This Row],[Outstanding Fee]]=0,"Paid",IF(student_data[[#This Row],[Deposit Fee]]=0,"Unpaid","Partially Paid"))</f>
        <v>Partially Paid</v>
      </c>
      <c r="M29" s="5" t="s">
        <v>78</v>
      </c>
      <c r="N29"/>
      <c r="O29"/>
      <c r="P29"/>
      <c r="Q29"/>
      <c r="R29"/>
      <c r="S29"/>
      <c r="T29"/>
      <c r="U29"/>
      <c r="V29"/>
      <c r="W29"/>
    </row>
    <row r="30" spans="1:23" ht="15.4">
      <c r="A30" s="5">
        <v>142</v>
      </c>
      <c r="B30" s="5">
        <v>18142</v>
      </c>
      <c r="C30" s="5" t="s">
        <v>254</v>
      </c>
      <c r="D30" s="5" t="s">
        <v>255</v>
      </c>
      <c r="E30" s="5" t="s">
        <v>25</v>
      </c>
      <c r="F30" s="5" t="s">
        <v>1360</v>
      </c>
      <c r="G30" s="8">
        <v>45302</v>
      </c>
      <c r="H30" s="8" t="str">
        <f t="shared" si="0"/>
        <v>Jan</v>
      </c>
      <c r="I30" s="5">
        <v>4400</v>
      </c>
      <c r="J30" s="5">
        <v>3800</v>
      </c>
      <c r="K30" s="5">
        <f>student_data[[#This Row],[Total Fee]]-student_data[[#This Row],[Deposit Fee]]</f>
        <v>600</v>
      </c>
      <c r="L30" s="5" t="str">
        <f>IF(student_data[[#This Row],[Outstanding Fee]]=0,"Paid",IF(student_data[[#This Row],[Deposit Fee]]=0,"Unpaid","Partially Paid"))</f>
        <v>Partially Paid</v>
      </c>
      <c r="M30" s="5" t="s">
        <v>16</v>
      </c>
      <c r="N30"/>
      <c r="O30"/>
      <c r="P30"/>
      <c r="Q30"/>
      <c r="R30"/>
      <c r="S30"/>
      <c r="T30"/>
      <c r="U30"/>
      <c r="V30"/>
      <c r="W30"/>
    </row>
    <row r="31" spans="1:23" ht="15.4">
      <c r="A31" s="5">
        <v>608</v>
      </c>
      <c r="B31" s="5">
        <v>18608</v>
      </c>
      <c r="C31" s="5" t="s">
        <v>962</v>
      </c>
      <c r="D31" s="5" t="s">
        <v>963</v>
      </c>
      <c r="E31" s="5" t="s">
        <v>9</v>
      </c>
      <c r="F31" s="5" t="s">
        <v>1360</v>
      </c>
      <c r="G31" s="8">
        <v>45302</v>
      </c>
      <c r="H31" s="8" t="str">
        <f t="shared" si="0"/>
        <v>Jan</v>
      </c>
      <c r="I31" s="5">
        <v>4400</v>
      </c>
      <c r="J31" s="5">
        <v>4400</v>
      </c>
      <c r="K31" s="5">
        <f>student_data[[#This Row],[Total Fee]]-student_data[[#This Row],[Deposit Fee]]</f>
        <v>0</v>
      </c>
      <c r="L31" s="5" t="str">
        <f>IF(student_data[[#This Row],[Outstanding Fee]]=0,"Paid",IF(student_data[[#This Row],[Deposit Fee]]=0,"Unpaid","Partially Paid"))</f>
        <v>Paid</v>
      </c>
      <c r="M31" s="5" t="s">
        <v>16</v>
      </c>
      <c r="N31"/>
      <c r="O31"/>
      <c r="P31"/>
      <c r="Q31"/>
      <c r="R31"/>
      <c r="S31"/>
      <c r="T31"/>
      <c r="U31"/>
      <c r="V31"/>
      <c r="W31"/>
    </row>
    <row r="32" spans="1:23" ht="15.4">
      <c r="A32" s="5">
        <v>609</v>
      </c>
      <c r="B32" s="5">
        <v>18609</v>
      </c>
      <c r="C32" s="5" t="s">
        <v>964</v>
      </c>
      <c r="D32" s="5" t="s">
        <v>965</v>
      </c>
      <c r="E32" s="5" t="s">
        <v>9</v>
      </c>
      <c r="F32" s="5" t="s">
        <v>1360</v>
      </c>
      <c r="G32" s="8">
        <v>45302</v>
      </c>
      <c r="H32" s="8" t="str">
        <f t="shared" si="0"/>
        <v>Jan</v>
      </c>
      <c r="I32" s="5">
        <v>4400</v>
      </c>
      <c r="J32" s="5">
        <v>4400</v>
      </c>
      <c r="K32" s="5">
        <f>student_data[[#This Row],[Total Fee]]-student_data[[#This Row],[Deposit Fee]]</f>
        <v>0</v>
      </c>
      <c r="L32" s="5" t="str">
        <f>IF(student_data[[#This Row],[Outstanding Fee]]=0,"Paid",IF(student_data[[#This Row],[Deposit Fee]]=0,"Unpaid","Partially Paid"))</f>
        <v>Paid</v>
      </c>
      <c r="M32" s="5" t="s">
        <v>19</v>
      </c>
      <c r="N32"/>
      <c r="O32"/>
      <c r="P32"/>
      <c r="Q32"/>
      <c r="R32"/>
      <c r="S32"/>
      <c r="T32"/>
      <c r="U32"/>
      <c r="V32"/>
      <c r="W32"/>
    </row>
    <row r="33" spans="1:23" ht="15.4">
      <c r="A33" s="5">
        <v>610</v>
      </c>
      <c r="B33" s="5">
        <v>18610</v>
      </c>
      <c r="C33" s="5" t="s">
        <v>966</v>
      </c>
      <c r="D33" s="5" t="s">
        <v>967</v>
      </c>
      <c r="E33" s="5" t="s">
        <v>9</v>
      </c>
      <c r="F33" s="5" t="s">
        <v>1360</v>
      </c>
      <c r="G33" s="8">
        <v>45303</v>
      </c>
      <c r="H33" s="8" t="str">
        <f t="shared" si="0"/>
        <v>Jan</v>
      </c>
      <c r="I33" s="5">
        <v>4400</v>
      </c>
      <c r="J33" s="5">
        <v>4400</v>
      </c>
      <c r="K33" s="5">
        <f>student_data[[#This Row],[Total Fee]]-student_data[[#This Row],[Deposit Fee]]</f>
        <v>0</v>
      </c>
      <c r="L33" s="5" t="str">
        <f>IF(student_data[[#This Row],[Outstanding Fee]]=0,"Paid",IF(student_data[[#This Row],[Deposit Fee]]=0,"Unpaid","Partially Paid"))</f>
        <v>Paid</v>
      </c>
      <c r="M33" s="5" t="s">
        <v>47</v>
      </c>
      <c r="N33"/>
      <c r="O33"/>
      <c r="P33"/>
      <c r="Q33"/>
      <c r="R33"/>
      <c r="S33"/>
      <c r="T33"/>
      <c r="U33"/>
      <c r="V33"/>
      <c r="W33"/>
    </row>
    <row r="34" spans="1:23" ht="15.4">
      <c r="A34" s="5">
        <v>611</v>
      </c>
      <c r="B34" s="5">
        <v>18611</v>
      </c>
      <c r="C34" s="5" t="s">
        <v>968</v>
      </c>
      <c r="D34" s="5" t="s">
        <v>969</v>
      </c>
      <c r="E34" s="5" t="s">
        <v>25</v>
      </c>
      <c r="F34" s="5" t="s">
        <v>1360</v>
      </c>
      <c r="G34" s="8">
        <v>45303</v>
      </c>
      <c r="H34" s="8" t="str">
        <f t="shared" si="0"/>
        <v>Jan</v>
      </c>
      <c r="I34" s="5">
        <v>4400</v>
      </c>
      <c r="J34" s="5">
        <v>4400</v>
      </c>
      <c r="K34" s="5">
        <f>student_data[[#This Row],[Total Fee]]-student_data[[#This Row],[Deposit Fee]]</f>
        <v>0</v>
      </c>
      <c r="L34" s="5" t="str">
        <f>IF(student_data[[#This Row],[Outstanding Fee]]=0,"Paid",IF(student_data[[#This Row],[Deposit Fee]]=0,"Unpaid","Partially Paid"))</f>
        <v>Paid</v>
      </c>
      <c r="M34" s="5" t="s">
        <v>75</v>
      </c>
      <c r="N34"/>
      <c r="O34"/>
      <c r="P34"/>
      <c r="Q34"/>
      <c r="R34"/>
      <c r="S34"/>
      <c r="T34"/>
      <c r="U34"/>
      <c r="V34"/>
      <c r="W34"/>
    </row>
    <row r="35" spans="1:23" ht="15.4">
      <c r="A35" s="5">
        <v>875</v>
      </c>
      <c r="B35" s="5">
        <v>18875</v>
      </c>
      <c r="C35" s="5" t="s">
        <v>1308</v>
      </c>
      <c r="D35" s="5" t="s">
        <v>647</v>
      </c>
      <c r="E35" s="5" t="s">
        <v>9</v>
      </c>
      <c r="F35" s="5" t="s">
        <v>1360</v>
      </c>
      <c r="G35" s="8">
        <v>45304</v>
      </c>
      <c r="H35" s="8" t="str">
        <f t="shared" si="0"/>
        <v>Jan</v>
      </c>
      <c r="I35" s="5">
        <v>4400</v>
      </c>
      <c r="J35" s="5">
        <v>4000</v>
      </c>
      <c r="K35" s="5">
        <f>student_data[[#This Row],[Total Fee]]-student_data[[#This Row],[Deposit Fee]]</f>
        <v>400</v>
      </c>
      <c r="L35" s="5" t="str">
        <f>IF(student_data[[#This Row],[Outstanding Fee]]=0,"Paid",IF(student_data[[#This Row],[Deposit Fee]]=0,"Unpaid","Partially Paid"))</f>
        <v>Partially Paid</v>
      </c>
      <c r="M35" s="5" t="s">
        <v>89</v>
      </c>
      <c r="N35"/>
      <c r="O35"/>
      <c r="P35"/>
      <c r="Q35"/>
      <c r="R35"/>
      <c r="S35"/>
      <c r="T35"/>
      <c r="U35"/>
      <c r="V35"/>
      <c r="W35"/>
    </row>
    <row r="36" spans="1:23" ht="15.4">
      <c r="A36" s="5">
        <v>876</v>
      </c>
      <c r="B36" s="5">
        <v>18876</v>
      </c>
      <c r="C36" s="5" t="s">
        <v>1309</v>
      </c>
      <c r="D36" s="5" t="s">
        <v>149</v>
      </c>
      <c r="E36" s="5" t="s">
        <v>9</v>
      </c>
      <c r="F36" s="5" t="s">
        <v>1360</v>
      </c>
      <c r="G36" s="8">
        <v>45304</v>
      </c>
      <c r="H36" s="8" t="str">
        <f t="shared" si="0"/>
        <v>Jan</v>
      </c>
      <c r="I36" s="5">
        <v>4400</v>
      </c>
      <c r="J36" s="5">
        <v>4400</v>
      </c>
      <c r="K36" s="5">
        <f>student_data[[#This Row],[Total Fee]]-student_data[[#This Row],[Deposit Fee]]</f>
        <v>0</v>
      </c>
      <c r="L36" s="5" t="str">
        <f>IF(student_data[[#This Row],[Outstanding Fee]]=0,"Paid",IF(student_data[[#This Row],[Deposit Fee]]=0,"Unpaid","Partially Paid"))</f>
        <v>Paid</v>
      </c>
      <c r="M36" s="5" t="s">
        <v>29</v>
      </c>
      <c r="N36"/>
      <c r="O36"/>
      <c r="P36"/>
      <c r="Q36"/>
      <c r="R36"/>
      <c r="S36"/>
      <c r="T36"/>
      <c r="U36"/>
      <c r="V36"/>
      <c r="W36"/>
    </row>
    <row r="37" spans="1:23" ht="15.4">
      <c r="A37" s="5">
        <v>877</v>
      </c>
      <c r="B37" s="5">
        <v>18877</v>
      </c>
      <c r="C37" s="5" t="s">
        <v>1310</v>
      </c>
      <c r="D37" s="5" t="s">
        <v>1311</v>
      </c>
      <c r="E37" s="5" t="s">
        <v>9</v>
      </c>
      <c r="F37" s="5" t="s">
        <v>1360</v>
      </c>
      <c r="G37" s="8">
        <v>45304</v>
      </c>
      <c r="H37" s="8" t="str">
        <f t="shared" si="0"/>
        <v>Jan</v>
      </c>
      <c r="I37" s="5">
        <v>4400</v>
      </c>
      <c r="J37" s="5">
        <v>4000</v>
      </c>
      <c r="K37" s="5">
        <f>student_data[[#This Row],[Total Fee]]-student_data[[#This Row],[Deposit Fee]]</f>
        <v>400</v>
      </c>
      <c r="L37" s="5" t="str">
        <f>IF(student_data[[#This Row],[Outstanding Fee]]=0,"Paid",IF(student_data[[#This Row],[Deposit Fee]]=0,"Unpaid","Partially Paid"))</f>
        <v>Partially Paid</v>
      </c>
      <c r="M37" s="5" t="s">
        <v>75</v>
      </c>
      <c r="N37"/>
      <c r="O37"/>
      <c r="P37"/>
      <c r="Q37"/>
      <c r="R37"/>
      <c r="S37"/>
      <c r="T37"/>
      <c r="U37"/>
      <c r="V37"/>
      <c r="W37"/>
    </row>
    <row r="38" spans="1:23" ht="15.4">
      <c r="A38" s="5">
        <v>172</v>
      </c>
      <c r="B38" s="5">
        <v>18172</v>
      </c>
      <c r="C38" s="5" t="s">
        <v>305</v>
      </c>
      <c r="D38" s="5" t="s">
        <v>306</v>
      </c>
      <c r="E38" s="5" t="s">
        <v>9</v>
      </c>
      <c r="F38" s="5" t="s">
        <v>1360</v>
      </c>
      <c r="G38" s="8">
        <v>45306</v>
      </c>
      <c r="H38" s="8" t="str">
        <f t="shared" si="0"/>
        <v>Jan</v>
      </c>
      <c r="I38" s="5">
        <v>4400</v>
      </c>
      <c r="J38" s="5">
        <v>3800</v>
      </c>
      <c r="K38" s="5">
        <f>student_data[[#This Row],[Total Fee]]-student_data[[#This Row],[Deposit Fee]]</f>
        <v>600</v>
      </c>
      <c r="L38" s="5" t="str">
        <f>IF(student_data[[#This Row],[Outstanding Fee]]=0,"Paid",IF(student_data[[#This Row],[Deposit Fee]]=0,"Unpaid","Partially Paid"))</f>
        <v>Partially Paid</v>
      </c>
      <c r="M38" s="5" t="s">
        <v>16</v>
      </c>
      <c r="N38"/>
      <c r="O38"/>
      <c r="P38"/>
      <c r="Q38"/>
      <c r="R38"/>
      <c r="S38"/>
      <c r="T38"/>
      <c r="U38"/>
      <c r="V38"/>
      <c r="W38"/>
    </row>
    <row r="39" spans="1:23" ht="15.4">
      <c r="A39" s="5">
        <v>612</v>
      </c>
      <c r="B39" s="5">
        <v>18612</v>
      </c>
      <c r="C39" s="5" t="s">
        <v>895</v>
      </c>
      <c r="D39" s="5" t="s">
        <v>970</v>
      </c>
      <c r="E39" s="5" t="s">
        <v>25</v>
      </c>
      <c r="F39" s="5" t="s">
        <v>1361</v>
      </c>
      <c r="G39" s="8">
        <v>45306</v>
      </c>
      <c r="H39" s="8" t="str">
        <f t="shared" si="0"/>
        <v>Jan</v>
      </c>
      <c r="I39" s="5">
        <v>5500</v>
      </c>
      <c r="J39" s="5">
        <v>5500</v>
      </c>
      <c r="K39" s="5">
        <f>student_data[[#This Row],[Total Fee]]-student_data[[#This Row],[Deposit Fee]]</f>
        <v>0</v>
      </c>
      <c r="L39" s="5" t="str">
        <f>IF(student_data[[#This Row],[Outstanding Fee]]=0,"Paid",IF(student_data[[#This Row],[Deposit Fee]]=0,"Unpaid","Partially Paid"))</f>
        <v>Paid</v>
      </c>
      <c r="M39" s="5" t="s">
        <v>89</v>
      </c>
      <c r="N39"/>
      <c r="O39"/>
      <c r="P39"/>
      <c r="Q39"/>
      <c r="R39"/>
      <c r="S39"/>
      <c r="T39"/>
      <c r="U39"/>
      <c r="V39"/>
      <c r="W39"/>
    </row>
    <row r="40" spans="1:23" ht="15.4">
      <c r="A40" s="5">
        <v>613</v>
      </c>
      <c r="B40" s="5">
        <v>18613</v>
      </c>
      <c r="C40" s="5" t="s">
        <v>11</v>
      </c>
      <c r="D40" s="5" t="s">
        <v>971</v>
      </c>
      <c r="E40" s="5" t="s">
        <v>25</v>
      </c>
      <c r="F40" s="5" t="s">
        <v>1361</v>
      </c>
      <c r="G40" s="8">
        <v>45306</v>
      </c>
      <c r="H40" s="8" t="str">
        <f t="shared" si="0"/>
        <v>Jan</v>
      </c>
      <c r="I40" s="5">
        <v>5500</v>
      </c>
      <c r="J40" s="5">
        <v>5500</v>
      </c>
      <c r="K40" s="5">
        <f>student_data[[#This Row],[Total Fee]]-student_data[[#This Row],[Deposit Fee]]</f>
        <v>0</v>
      </c>
      <c r="L40" s="5" t="str">
        <f>IF(student_data[[#This Row],[Outstanding Fee]]=0,"Paid",IF(student_data[[#This Row],[Deposit Fee]]=0,"Unpaid","Partially Paid"))</f>
        <v>Paid</v>
      </c>
      <c r="M40" s="5" t="s">
        <v>29</v>
      </c>
      <c r="N40"/>
      <c r="O40"/>
      <c r="P40"/>
      <c r="Q40"/>
      <c r="R40"/>
      <c r="S40"/>
      <c r="T40"/>
      <c r="U40"/>
      <c r="V40"/>
      <c r="W40"/>
    </row>
    <row r="41" spans="1:23" ht="15.4">
      <c r="A41" s="5">
        <v>614</v>
      </c>
      <c r="B41" s="5">
        <v>18614</v>
      </c>
      <c r="C41" s="5" t="s">
        <v>704</v>
      </c>
      <c r="D41" s="5" t="s">
        <v>972</v>
      </c>
      <c r="E41" s="5" t="s">
        <v>25</v>
      </c>
      <c r="F41" s="5" t="s">
        <v>1361</v>
      </c>
      <c r="G41" s="8">
        <v>45307</v>
      </c>
      <c r="H41" s="8" t="str">
        <f t="shared" si="0"/>
        <v>Jan</v>
      </c>
      <c r="I41" s="5">
        <v>5500</v>
      </c>
      <c r="J41" s="5">
        <v>5500</v>
      </c>
      <c r="K41" s="5">
        <f>student_data[[#This Row],[Total Fee]]-student_data[[#This Row],[Deposit Fee]]</f>
        <v>0</v>
      </c>
      <c r="L41" s="5" t="str">
        <f>IF(student_data[[#This Row],[Outstanding Fee]]=0,"Paid",IF(student_data[[#This Row],[Deposit Fee]]=0,"Unpaid","Partially Paid"))</f>
        <v>Paid</v>
      </c>
      <c r="M41" s="5" t="s">
        <v>75</v>
      </c>
      <c r="N41"/>
      <c r="O41"/>
      <c r="P41"/>
      <c r="Q41"/>
      <c r="R41"/>
      <c r="S41"/>
      <c r="T41"/>
      <c r="U41"/>
      <c r="V41"/>
      <c r="W41"/>
    </row>
    <row r="42" spans="1:23" ht="15.4">
      <c r="A42" s="5">
        <v>615</v>
      </c>
      <c r="B42" s="5">
        <v>18615</v>
      </c>
      <c r="C42" s="5" t="s">
        <v>899</v>
      </c>
      <c r="D42" s="5" t="s">
        <v>287</v>
      </c>
      <c r="E42" s="5" t="s">
        <v>9</v>
      </c>
      <c r="F42" s="5" t="s">
        <v>1361</v>
      </c>
      <c r="G42" s="8">
        <v>45307</v>
      </c>
      <c r="H42" s="8" t="str">
        <f t="shared" si="0"/>
        <v>Jan</v>
      </c>
      <c r="I42" s="5">
        <v>5500</v>
      </c>
      <c r="J42" s="5">
        <v>5100</v>
      </c>
      <c r="K42" s="5">
        <f>student_data[[#This Row],[Total Fee]]-student_data[[#This Row],[Deposit Fee]]</f>
        <v>400</v>
      </c>
      <c r="L42" s="5" t="str">
        <f>IF(student_data[[#This Row],[Outstanding Fee]]=0,"Paid",IF(student_data[[#This Row],[Deposit Fee]]=0,"Unpaid","Partially Paid"))</f>
        <v>Partially Paid</v>
      </c>
      <c r="M42" s="5" t="s">
        <v>75</v>
      </c>
      <c r="N42"/>
      <c r="O42"/>
      <c r="P42"/>
      <c r="Q42"/>
      <c r="R42"/>
      <c r="S42"/>
      <c r="T42"/>
      <c r="U42"/>
      <c r="V42"/>
      <c r="W42"/>
    </row>
    <row r="43" spans="1:23" ht="15.4">
      <c r="A43" s="5">
        <v>616</v>
      </c>
      <c r="B43" s="5">
        <v>18616</v>
      </c>
      <c r="C43" s="5" t="s">
        <v>900</v>
      </c>
      <c r="D43" s="5" t="s">
        <v>944</v>
      </c>
      <c r="E43" s="5" t="s">
        <v>9</v>
      </c>
      <c r="F43" s="5" t="s">
        <v>1361</v>
      </c>
      <c r="G43" s="8">
        <v>45307</v>
      </c>
      <c r="H43" s="8" t="str">
        <f t="shared" si="0"/>
        <v>Jan</v>
      </c>
      <c r="I43" s="5">
        <v>5500</v>
      </c>
      <c r="J43" s="5">
        <v>5100</v>
      </c>
      <c r="K43" s="5">
        <f>student_data[[#This Row],[Total Fee]]-student_data[[#This Row],[Deposit Fee]]</f>
        <v>400</v>
      </c>
      <c r="L43" s="5" t="str">
        <f>IF(student_data[[#This Row],[Outstanding Fee]]=0,"Paid",IF(student_data[[#This Row],[Deposit Fee]]=0,"Unpaid","Partially Paid"))</f>
        <v>Partially Paid</v>
      </c>
      <c r="M43" s="5" t="s">
        <v>19</v>
      </c>
      <c r="N43"/>
      <c r="O43"/>
      <c r="P43"/>
      <c r="Q43"/>
      <c r="R43"/>
      <c r="S43"/>
      <c r="T43"/>
      <c r="U43"/>
      <c r="V43"/>
      <c r="W43"/>
    </row>
    <row r="44" spans="1:23" ht="15.4">
      <c r="A44" s="5">
        <v>81</v>
      </c>
      <c r="B44" s="5">
        <v>18081</v>
      </c>
      <c r="C44" s="5" t="s">
        <v>165</v>
      </c>
      <c r="D44" s="5" t="s">
        <v>166</v>
      </c>
      <c r="E44" s="5" t="s">
        <v>9</v>
      </c>
      <c r="F44" s="5" t="s">
        <v>1361</v>
      </c>
      <c r="G44" s="8">
        <v>45308</v>
      </c>
      <c r="H44" s="8" t="str">
        <f t="shared" si="0"/>
        <v>Jan</v>
      </c>
      <c r="I44" s="5">
        <v>5500</v>
      </c>
      <c r="J44" s="5">
        <v>4900</v>
      </c>
      <c r="K44" s="5">
        <f>student_data[[#This Row],[Total Fee]]-student_data[[#This Row],[Deposit Fee]]</f>
        <v>600</v>
      </c>
      <c r="L44" s="5" t="str">
        <f>IF(student_data[[#This Row],[Outstanding Fee]]=0,"Paid",IF(student_data[[#This Row],[Deposit Fee]]=0,"Unpaid","Partially Paid"))</f>
        <v>Partially Paid</v>
      </c>
      <c r="M44" s="5" t="s">
        <v>78</v>
      </c>
      <c r="N44"/>
      <c r="O44"/>
      <c r="P44"/>
      <c r="Q44"/>
      <c r="R44"/>
      <c r="S44"/>
      <c r="T44"/>
      <c r="U44"/>
      <c r="V44"/>
      <c r="W44"/>
    </row>
    <row r="45" spans="1:23" ht="15.4">
      <c r="A45" s="5">
        <v>82</v>
      </c>
      <c r="B45" s="5">
        <v>18082</v>
      </c>
      <c r="C45" s="5" t="s">
        <v>167</v>
      </c>
      <c r="D45" s="5" t="s">
        <v>168</v>
      </c>
      <c r="E45" s="5" t="s">
        <v>9</v>
      </c>
      <c r="F45" s="5" t="s">
        <v>1361</v>
      </c>
      <c r="G45" s="8">
        <v>45308</v>
      </c>
      <c r="H45" s="8" t="str">
        <f t="shared" si="0"/>
        <v>Jan</v>
      </c>
      <c r="I45" s="5">
        <v>5500</v>
      </c>
      <c r="J45" s="5">
        <v>5500</v>
      </c>
      <c r="K45" s="5">
        <f>student_data[[#This Row],[Total Fee]]-student_data[[#This Row],[Deposit Fee]]</f>
        <v>0</v>
      </c>
      <c r="L45" s="5" t="str">
        <f>IF(student_data[[#This Row],[Outstanding Fee]]=0,"Paid",IF(student_data[[#This Row],[Deposit Fee]]=0,"Unpaid","Partially Paid"))</f>
        <v>Paid</v>
      </c>
      <c r="M45" s="5" t="s">
        <v>16</v>
      </c>
      <c r="N45"/>
      <c r="O45"/>
      <c r="P45"/>
      <c r="Q45"/>
      <c r="R45"/>
      <c r="S45"/>
      <c r="T45"/>
      <c r="U45"/>
      <c r="V45"/>
      <c r="W45"/>
    </row>
    <row r="46" spans="1:23" ht="15.4">
      <c r="A46" s="5">
        <v>661</v>
      </c>
      <c r="B46" s="5">
        <v>18661</v>
      </c>
      <c r="C46" s="5" t="s">
        <v>935</v>
      </c>
      <c r="D46" s="5" t="s">
        <v>1035</v>
      </c>
      <c r="E46" s="5" t="s">
        <v>9</v>
      </c>
      <c r="F46" s="5" t="s">
        <v>1361</v>
      </c>
      <c r="G46" s="8">
        <v>45308</v>
      </c>
      <c r="H46" s="8" t="str">
        <f t="shared" si="0"/>
        <v>Jan</v>
      </c>
      <c r="I46" s="5">
        <v>5500</v>
      </c>
      <c r="J46" s="5">
        <v>4900</v>
      </c>
      <c r="K46" s="5">
        <f>student_data[[#This Row],[Total Fee]]-student_data[[#This Row],[Deposit Fee]]</f>
        <v>600</v>
      </c>
      <c r="L46" s="5" t="str">
        <f>IF(student_data[[#This Row],[Outstanding Fee]]=0,"Paid",IF(student_data[[#This Row],[Deposit Fee]]=0,"Unpaid","Partially Paid"))</f>
        <v>Partially Paid</v>
      </c>
      <c r="M46" s="5" t="s">
        <v>89</v>
      </c>
      <c r="N46"/>
      <c r="O46"/>
      <c r="P46"/>
      <c r="Q46"/>
      <c r="R46"/>
      <c r="S46"/>
      <c r="T46"/>
      <c r="U46"/>
      <c r="V46"/>
      <c r="W46"/>
    </row>
    <row r="47" spans="1:23" ht="15.4">
      <c r="A47" s="5">
        <v>16</v>
      </c>
      <c r="B47" s="5">
        <v>18016</v>
      </c>
      <c r="C47" s="5" t="s">
        <v>51</v>
      </c>
      <c r="D47" s="5" t="s">
        <v>52</v>
      </c>
      <c r="E47" s="5" t="s">
        <v>25</v>
      </c>
      <c r="F47" s="5" t="s">
        <v>1361</v>
      </c>
      <c r="G47" s="8">
        <v>45309</v>
      </c>
      <c r="H47" s="8" t="str">
        <f t="shared" si="0"/>
        <v>Jan</v>
      </c>
      <c r="I47" s="5">
        <v>5500</v>
      </c>
      <c r="J47" s="5">
        <v>5500</v>
      </c>
      <c r="K47" s="5">
        <f>student_data[[#This Row],[Total Fee]]-student_data[[#This Row],[Deposit Fee]]</f>
        <v>0</v>
      </c>
      <c r="L47" s="5" t="str">
        <f>IF(student_data[[#This Row],[Outstanding Fee]]=0,"Paid",IF(student_data[[#This Row],[Deposit Fee]]=0,"Unpaid","Partially Paid"))</f>
        <v>Paid</v>
      </c>
      <c r="M47" s="5" t="s">
        <v>53</v>
      </c>
      <c r="N47"/>
      <c r="O47"/>
      <c r="P47"/>
      <c r="Q47"/>
      <c r="R47"/>
      <c r="S47"/>
      <c r="T47"/>
      <c r="U47"/>
      <c r="V47"/>
      <c r="W47"/>
    </row>
    <row r="48" spans="1:23" ht="15.4">
      <c r="A48" s="5">
        <v>17</v>
      </c>
      <c r="B48" s="5">
        <v>18017</v>
      </c>
      <c r="C48" s="5" t="s">
        <v>54</v>
      </c>
      <c r="D48" s="5" t="s">
        <v>55</v>
      </c>
      <c r="E48" s="5" t="s">
        <v>25</v>
      </c>
      <c r="F48" s="5" t="s">
        <v>1361</v>
      </c>
      <c r="G48" s="8">
        <v>45309</v>
      </c>
      <c r="H48" s="8" t="str">
        <f t="shared" si="0"/>
        <v>Jan</v>
      </c>
      <c r="I48" s="5">
        <v>5500</v>
      </c>
      <c r="J48" s="5">
        <v>5500</v>
      </c>
      <c r="K48" s="5">
        <f>student_data[[#This Row],[Total Fee]]-student_data[[#This Row],[Deposit Fee]]</f>
        <v>0</v>
      </c>
      <c r="L48" s="5" t="str">
        <f>IF(student_data[[#This Row],[Outstanding Fee]]=0,"Paid",IF(student_data[[#This Row],[Deposit Fee]]=0,"Unpaid","Partially Paid"))</f>
        <v>Paid</v>
      </c>
      <c r="M48" s="5" t="s">
        <v>50</v>
      </c>
      <c r="N48"/>
      <c r="O48"/>
      <c r="P48"/>
      <c r="Q48"/>
      <c r="R48"/>
      <c r="S48"/>
      <c r="T48"/>
      <c r="U48"/>
      <c r="V48"/>
      <c r="W48"/>
    </row>
    <row r="49" spans="1:23" ht="15.4">
      <c r="A49" s="5">
        <v>18</v>
      </c>
      <c r="B49" s="5">
        <v>18018</v>
      </c>
      <c r="C49" s="5" t="s">
        <v>56</v>
      </c>
      <c r="D49" s="5" t="s">
        <v>57</v>
      </c>
      <c r="E49" s="5" t="s">
        <v>25</v>
      </c>
      <c r="F49" s="5" t="s">
        <v>1361</v>
      </c>
      <c r="G49" s="8">
        <v>45309</v>
      </c>
      <c r="H49" s="8" t="str">
        <f t="shared" si="0"/>
        <v>Jan</v>
      </c>
      <c r="I49" s="5">
        <v>5500</v>
      </c>
      <c r="J49" s="5">
        <v>4900</v>
      </c>
      <c r="K49" s="5">
        <f>student_data[[#This Row],[Total Fee]]-student_data[[#This Row],[Deposit Fee]]</f>
        <v>600</v>
      </c>
      <c r="L49" s="5" t="str">
        <f>IF(student_data[[#This Row],[Outstanding Fee]]=0,"Paid",IF(student_data[[#This Row],[Deposit Fee]]=0,"Unpaid","Partially Paid"))</f>
        <v>Partially Paid</v>
      </c>
      <c r="M49" s="5" t="s">
        <v>53</v>
      </c>
      <c r="N49"/>
      <c r="O49"/>
      <c r="P49"/>
      <c r="Q49"/>
      <c r="R49"/>
      <c r="S49"/>
      <c r="T49"/>
      <c r="U49"/>
      <c r="V49"/>
      <c r="W49"/>
    </row>
    <row r="50" spans="1:23" ht="15.4">
      <c r="A50" s="5">
        <v>19</v>
      </c>
      <c r="B50" s="5">
        <v>18019</v>
      </c>
      <c r="C50" s="5" t="s">
        <v>58</v>
      </c>
      <c r="D50" s="5" t="s">
        <v>59</v>
      </c>
      <c r="E50" s="5" t="s">
        <v>9</v>
      </c>
      <c r="F50" s="5" t="s">
        <v>1361</v>
      </c>
      <c r="G50" s="8">
        <v>45310</v>
      </c>
      <c r="H50" s="8" t="str">
        <f t="shared" si="0"/>
        <v>Jan</v>
      </c>
      <c r="I50" s="5">
        <v>5500</v>
      </c>
      <c r="J50" s="5">
        <v>4900</v>
      </c>
      <c r="K50" s="5">
        <f>student_data[[#This Row],[Total Fee]]-student_data[[#This Row],[Deposit Fee]]</f>
        <v>600</v>
      </c>
      <c r="L50" s="5" t="str">
        <f>IF(student_data[[#This Row],[Outstanding Fee]]=0,"Paid",IF(student_data[[#This Row],[Deposit Fee]]=0,"Unpaid","Partially Paid"))</f>
        <v>Partially Paid</v>
      </c>
      <c r="M50" s="5" t="s">
        <v>53</v>
      </c>
      <c r="N50"/>
      <c r="O50"/>
      <c r="P50"/>
      <c r="Q50"/>
      <c r="R50"/>
      <c r="S50"/>
      <c r="T50"/>
      <c r="U50"/>
      <c r="V50"/>
      <c r="W50"/>
    </row>
    <row r="51" spans="1:23" ht="15.4">
      <c r="A51" s="5">
        <v>20</v>
      </c>
      <c r="B51" s="5">
        <v>18020</v>
      </c>
      <c r="C51" s="5" t="s">
        <v>60</v>
      </c>
      <c r="D51" s="5" t="s">
        <v>61</v>
      </c>
      <c r="E51" s="5" t="s">
        <v>9</v>
      </c>
      <c r="F51" s="5" t="s">
        <v>1361</v>
      </c>
      <c r="G51" s="8">
        <v>45310</v>
      </c>
      <c r="H51" s="8" t="str">
        <f t="shared" si="0"/>
        <v>Jan</v>
      </c>
      <c r="I51" s="5">
        <v>5500</v>
      </c>
      <c r="J51" s="5">
        <v>5500</v>
      </c>
      <c r="K51" s="5">
        <f>student_data[[#This Row],[Total Fee]]-student_data[[#This Row],[Deposit Fee]]</f>
        <v>0</v>
      </c>
      <c r="L51" s="5" t="str">
        <f>IF(student_data[[#This Row],[Outstanding Fee]]=0,"Paid",IF(student_data[[#This Row],[Deposit Fee]]=0,"Unpaid","Partially Paid"))</f>
        <v>Paid</v>
      </c>
      <c r="M51" s="5" t="s">
        <v>50</v>
      </c>
      <c r="N51"/>
      <c r="O51"/>
      <c r="P51"/>
      <c r="Q51"/>
      <c r="R51"/>
      <c r="S51"/>
      <c r="T51"/>
      <c r="U51"/>
      <c r="V51"/>
      <c r="W51"/>
    </row>
    <row r="52" spans="1:23" ht="15.4">
      <c r="A52" s="5">
        <v>21</v>
      </c>
      <c r="B52" s="5">
        <v>18021</v>
      </c>
      <c r="C52" s="5" t="s">
        <v>62</v>
      </c>
      <c r="D52" s="5" t="s">
        <v>63</v>
      </c>
      <c r="E52" s="5" t="s">
        <v>9</v>
      </c>
      <c r="F52" s="5" t="s">
        <v>1361</v>
      </c>
      <c r="G52" s="8">
        <v>45310</v>
      </c>
      <c r="H52" s="8" t="str">
        <f t="shared" si="0"/>
        <v>Jan</v>
      </c>
      <c r="I52" s="5">
        <v>5500</v>
      </c>
      <c r="J52" s="5">
        <v>5500</v>
      </c>
      <c r="K52" s="5">
        <f>student_data[[#This Row],[Total Fee]]-student_data[[#This Row],[Deposit Fee]]</f>
        <v>0</v>
      </c>
      <c r="L52" s="5" t="str">
        <f>IF(student_data[[#This Row],[Outstanding Fee]]=0,"Paid",IF(student_data[[#This Row],[Deposit Fee]]=0,"Unpaid","Partially Paid"))</f>
        <v>Paid</v>
      </c>
      <c r="M52" s="5" t="s">
        <v>13</v>
      </c>
      <c r="N52"/>
      <c r="O52"/>
      <c r="P52"/>
      <c r="Q52"/>
      <c r="R52"/>
      <c r="S52"/>
      <c r="T52"/>
      <c r="U52"/>
      <c r="V52"/>
      <c r="W52"/>
    </row>
    <row r="53" spans="1:23" ht="15.4">
      <c r="A53" s="5">
        <v>22</v>
      </c>
      <c r="B53" s="5">
        <v>18022</v>
      </c>
      <c r="C53" s="5" t="s">
        <v>64</v>
      </c>
      <c r="D53" s="5" t="s">
        <v>65</v>
      </c>
      <c r="E53" s="5" t="s">
        <v>9</v>
      </c>
      <c r="F53" s="5" t="s">
        <v>1361</v>
      </c>
      <c r="G53" s="8">
        <v>45311</v>
      </c>
      <c r="H53" s="8" t="str">
        <f t="shared" si="0"/>
        <v>Jan</v>
      </c>
      <c r="I53" s="5">
        <v>5500</v>
      </c>
      <c r="J53" s="5">
        <v>5100</v>
      </c>
      <c r="K53" s="5">
        <f>student_data[[#This Row],[Total Fee]]-student_data[[#This Row],[Deposit Fee]]</f>
        <v>400</v>
      </c>
      <c r="L53" s="5" t="str">
        <f>IF(student_data[[#This Row],[Outstanding Fee]]=0,"Paid",IF(student_data[[#This Row],[Deposit Fee]]=0,"Unpaid","Partially Paid"))</f>
        <v>Partially Paid</v>
      </c>
      <c r="M53" s="5" t="s">
        <v>66</v>
      </c>
      <c r="N53"/>
      <c r="O53"/>
      <c r="P53"/>
      <c r="Q53"/>
      <c r="R53"/>
      <c r="S53"/>
      <c r="T53"/>
      <c r="U53"/>
      <c r="V53"/>
      <c r="W53"/>
    </row>
    <row r="54" spans="1:23" ht="15.4">
      <c r="A54" s="5">
        <v>23</v>
      </c>
      <c r="B54" s="5">
        <v>18023</v>
      </c>
      <c r="C54" s="5" t="s">
        <v>67</v>
      </c>
      <c r="D54" s="5" t="s">
        <v>68</v>
      </c>
      <c r="E54" s="5" t="s">
        <v>9</v>
      </c>
      <c r="F54" s="5" t="s">
        <v>1361</v>
      </c>
      <c r="G54" s="8">
        <v>45311</v>
      </c>
      <c r="H54" s="8" t="str">
        <f t="shared" si="0"/>
        <v>Jan</v>
      </c>
      <c r="I54" s="5">
        <v>5500</v>
      </c>
      <c r="J54" s="5">
        <v>5500</v>
      </c>
      <c r="K54" s="5">
        <f>student_data[[#This Row],[Total Fee]]-student_data[[#This Row],[Deposit Fee]]</f>
        <v>0</v>
      </c>
      <c r="L54" s="5" t="str">
        <f>IF(student_data[[#This Row],[Outstanding Fee]]=0,"Paid",IF(student_data[[#This Row],[Deposit Fee]]=0,"Unpaid","Partially Paid"))</f>
        <v>Paid</v>
      </c>
      <c r="M54" s="5" t="s">
        <v>22</v>
      </c>
      <c r="N54"/>
      <c r="O54"/>
      <c r="P54"/>
      <c r="Q54"/>
      <c r="R54"/>
      <c r="S54"/>
      <c r="T54"/>
      <c r="U54"/>
      <c r="V54"/>
      <c r="W54"/>
    </row>
    <row r="55" spans="1:23" ht="15.4">
      <c r="A55" s="5">
        <v>24</v>
      </c>
      <c r="B55" s="5">
        <v>18024</v>
      </c>
      <c r="C55" s="5" t="s">
        <v>69</v>
      </c>
      <c r="D55" s="5" t="s">
        <v>70</v>
      </c>
      <c r="E55" s="5" t="s">
        <v>25</v>
      </c>
      <c r="F55" s="5" t="s">
        <v>1361</v>
      </c>
      <c r="G55" s="8">
        <v>45311</v>
      </c>
      <c r="H55" s="8" t="str">
        <f t="shared" si="0"/>
        <v>Jan</v>
      </c>
      <c r="I55" s="5">
        <v>5500</v>
      </c>
      <c r="J55" s="5">
        <v>5100</v>
      </c>
      <c r="K55" s="5">
        <f>student_data[[#This Row],[Total Fee]]-student_data[[#This Row],[Deposit Fee]]</f>
        <v>400</v>
      </c>
      <c r="L55" s="5" t="str">
        <f>IF(student_data[[#This Row],[Outstanding Fee]]=0,"Paid",IF(student_data[[#This Row],[Deposit Fee]]=0,"Unpaid","Partially Paid"))</f>
        <v>Partially Paid</v>
      </c>
      <c r="M55" s="5" t="s">
        <v>26</v>
      </c>
      <c r="N55"/>
      <c r="O55"/>
      <c r="P55"/>
      <c r="Q55"/>
      <c r="R55"/>
      <c r="S55"/>
      <c r="T55"/>
      <c r="U55"/>
      <c r="V55"/>
      <c r="W55"/>
    </row>
    <row r="56" spans="1:23" ht="15.4">
      <c r="A56" s="5">
        <v>25</v>
      </c>
      <c r="B56" s="5">
        <v>18025</v>
      </c>
      <c r="C56" s="5" t="s">
        <v>71</v>
      </c>
      <c r="D56" s="5" t="s">
        <v>72</v>
      </c>
      <c r="E56" s="5" t="s">
        <v>25</v>
      </c>
      <c r="F56" s="5" t="s">
        <v>1361</v>
      </c>
      <c r="G56" s="8">
        <v>45313</v>
      </c>
      <c r="H56" s="8" t="str">
        <f t="shared" si="0"/>
        <v>Jan</v>
      </c>
      <c r="I56" s="5">
        <v>5500</v>
      </c>
      <c r="J56" s="5">
        <v>4900</v>
      </c>
      <c r="K56" s="5">
        <f>student_data[[#This Row],[Total Fee]]-student_data[[#This Row],[Deposit Fee]]</f>
        <v>600</v>
      </c>
      <c r="L56" s="5" t="str">
        <f>IF(student_data[[#This Row],[Outstanding Fee]]=0,"Paid",IF(student_data[[#This Row],[Deposit Fee]]=0,"Unpaid","Partially Paid"))</f>
        <v>Partially Paid</v>
      </c>
      <c r="M56" s="5" t="s">
        <v>26</v>
      </c>
      <c r="N56"/>
      <c r="O56"/>
      <c r="P56"/>
      <c r="Q56"/>
      <c r="R56"/>
      <c r="S56"/>
      <c r="T56"/>
      <c r="U56"/>
      <c r="V56"/>
      <c r="W56"/>
    </row>
    <row r="57" spans="1:23" ht="15.4">
      <c r="A57" s="5">
        <v>26</v>
      </c>
      <c r="B57" s="5">
        <v>18026</v>
      </c>
      <c r="C57" s="5" t="s">
        <v>73</v>
      </c>
      <c r="D57" s="5" t="s">
        <v>74</v>
      </c>
      <c r="E57" s="5" t="s">
        <v>25</v>
      </c>
      <c r="F57" s="5" t="s">
        <v>1361</v>
      </c>
      <c r="G57" s="8">
        <v>45313</v>
      </c>
      <c r="H57" s="8" t="str">
        <f t="shared" si="0"/>
        <v>Jan</v>
      </c>
      <c r="I57" s="5">
        <v>5500</v>
      </c>
      <c r="J57" s="5">
        <v>4900</v>
      </c>
      <c r="K57" s="5">
        <f>student_data[[#This Row],[Total Fee]]-student_data[[#This Row],[Deposit Fee]]</f>
        <v>600</v>
      </c>
      <c r="L57" s="5" t="str">
        <f>IF(student_data[[#This Row],[Outstanding Fee]]=0,"Paid",IF(student_data[[#This Row],[Deposit Fee]]=0,"Unpaid","Partially Paid"))</f>
        <v>Partially Paid</v>
      </c>
      <c r="M57" s="5" t="s">
        <v>75</v>
      </c>
      <c r="N57"/>
      <c r="O57"/>
      <c r="P57"/>
      <c r="Q57"/>
      <c r="R57"/>
      <c r="S57"/>
      <c r="T57"/>
      <c r="U57"/>
      <c r="V57"/>
      <c r="W57"/>
    </row>
    <row r="58" spans="1:23" ht="15.4">
      <c r="A58" s="5">
        <v>27</v>
      </c>
      <c r="B58" s="5">
        <v>18027</v>
      </c>
      <c r="C58" s="5" t="s">
        <v>76</v>
      </c>
      <c r="D58" s="5" t="s">
        <v>77</v>
      </c>
      <c r="E58" s="5" t="s">
        <v>9</v>
      </c>
      <c r="F58" s="5" t="s">
        <v>1361</v>
      </c>
      <c r="G58" s="8">
        <v>45313</v>
      </c>
      <c r="H58" s="8" t="str">
        <f t="shared" si="0"/>
        <v>Jan</v>
      </c>
      <c r="I58" s="5">
        <v>5500</v>
      </c>
      <c r="J58" s="5">
        <v>1300</v>
      </c>
      <c r="K58" s="5">
        <f>student_data[[#This Row],[Total Fee]]-student_data[[#This Row],[Deposit Fee]]</f>
        <v>4200</v>
      </c>
      <c r="L58" s="5" t="str">
        <f>IF(student_data[[#This Row],[Outstanding Fee]]=0,"Paid",IF(student_data[[#This Row],[Deposit Fee]]=0,"Unpaid","Partially Paid"))</f>
        <v>Partially Paid</v>
      </c>
      <c r="M58" s="5" t="s">
        <v>78</v>
      </c>
      <c r="N58"/>
      <c r="O58"/>
      <c r="P58"/>
      <c r="Q58"/>
      <c r="R58"/>
      <c r="S58"/>
      <c r="T58"/>
      <c r="U58"/>
      <c r="V58"/>
      <c r="W58"/>
    </row>
    <row r="59" spans="1:23" ht="15.4">
      <c r="A59" s="5">
        <v>28</v>
      </c>
      <c r="B59" s="5">
        <v>18028</v>
      </c>
      <c r="C59" s="5" t="s">
        <v>79</v>
      </c>
      <c r="D59" s="5" t="s">
        <v>80</v>
      </c>
      <c r="E59" s="5" t="s">
        <v>9</v>
      </c>
      <c r="F59" s="5" t="s">
        <v>1361</v>
      </c>
      <c r="G59" s="8">
        <v>45314</v>
      </c>
      <c r="H59" s="8" t="str">
        <f t="shared" si="0"/>
        <v>Jan</v>
      </c>
      <c r="I59" s="5">
        <v>5500</v>
      </c>
      <c r="J59" s="5">
        <v>5500</v>
      </c>
      <c r="K59" s="5">
        <f>student_data[[#This Row],[Total Fee]]-student_data[[#This Row],[Deposit Fee]]</f>
        <v>0</v>
      </c>
      <c r="L59" s="5" t="str">
        <f>IF(student_data[[#This Row],[Outstanding Fee]]=0,"Paid",IF(student_data[[#This Row],[Deposit Fee]]=0,"Unpaid","Partially Paid"))</f>
        <v>Paid</v>
      </c>
      <c r="M59" s="5" t="s">
        <v>16</v>
      </c>
      <c r="N59"/>
      <c r="O59"/>
      <c r="P59"/>
      <c r="Q59"/>
      <c r="R59"/>
      <c r="S59"/>
      <c r="T59"/>
      <c r="U59"/>
      <c r="V59"/>
      <c r="W59"/>
    </row>
    <row r="60" spans="1:23" ht="15.4">
      <c r="A60" s="5">
        <v>99</v>
      </c>
      <c r="B60" s="5">
        <v>18099</v>
      </c>
      <c r="C60" s="5" t="s">
        <v>195</v>
      </c>
      <c r="D60" s="5" t="s">
        <v>196</v>
      </c>
      <c r="E60" s="5" t="s">
        <v>9</v>
      </c>
      <c r="F60" s="5" t="s">
        <v>1361</v>
      </c>
      <c r="G60" s="8">
        <v>45314</v>
      </c>
      <c r="H60" s="8" t="str">
        <f t="shared" si="0"/>
        <v>Jan</v>
      </c>
      <c r="I60" s="5">
        <v>5500</v>
      </c>
      <c r="J60" s="5">
        <v>4900</v>
      </c>
      <c r="K60" s="5">
        <f>student_data[[#This Row],[Total Fee]]-student_data[[#This Row],[Deposit Fee]]</f>
        <v>600</v>
      </c>
      <c r="L60" s="5" t="str">
        <f>IF(student_data[[#This Row],[Outstanding Fee]]=0,"Paid",IF(student_data[[#This Row],[Deposit Fee]]=0,"Unpaid","Partially Paid"))</f>
        <v>Partially Paid</v>
      </c>
      <c r="M60" s="5" t="s">
        <v>38</v>
      </c>
      <c r="N60"/>
      <c r="O60"/>
      <c r="P60"/>
      <c r="Q60"/>
      <c r="R60"/>
      <c r="S60"/>
      <c r="T60"/>
      <c r="U60"/>
      <c r="V60"/>
      <c r="W60"/>
    </row>
    <row r="61" spans="1:23" ht="15.4">
      <c r="A61" s="5">
        <v>100</v>
      </c>
      <c r="B61" s="5">
        <v>18100</v>
      </c>
      <c r="C61" s="5" t="s">
        <v>197</v>
      </c>
      <c r="D61" s="5" t="s">
        <v>198</v>
      </c>
      <c r="E61" s="5" t="s">
        <v>9</v>
      </c>
      <c r="F61" s="5" t="s">
        <v>1361</v>
      </c>
      <c r="G61" s="8">
        <v>45314</v>
      </c>
      <c r="H61" s="8" t="str">
        <f t="shared" si="0"/>
        <v>Jan</v>
      </c>
      <c r="I61" s="5">
        <v>5500</v>
      </c>
      <c r="J61" s="5">
        <v>4900</v>
      </c>
      <c r="K61" s="5">
        <f>student_data[[#This Row],[Total Fee]]-student_data[[#This Row],[Deposit Fee]]</f>
        <v>600</v>
      </c>
      <c r="L61" s="5" t="str">
        <f>IF(student_data[[#This Row],[Outstanding Fee]]=0,"Paid",IF(student_data[[#This Row],[Deposit Fee]]=0,"Unpaid","Partially Paid"))</f>
        <v>Partially Paid</v>
      </c>
      <c r="M61" s="5" t="s">
        <v>78</v>
      </c>
      <c r="N61"/>
      <c r="O61"/>
      <c r="P61"/>
      <c r="Q61"/>
      <c r="R61"/>
      <c r="S61"/>
      <c r="T61"/>
      <c r="U61"/>
      <c r="V61"/>
      <c r="W61"/>
    </row>
    <row r="62" spans="1:23" ht="15.4">
      <c r="A62" s="5">
        <v>101</v>
      </c>
      <c r="B62" s="5">
        <v>18101</v>
      </c>
      <c r="C62" s="5" t="s">
        <v>199</v>
      </c>
      <c r="D62" s="5" t="s">
        <v>200</v>
      </c>
      <c r="E62" s="5" t="s">
        <v>9</v>
      </c>
      <c r="F62" s="5" t="s">
        <v>1361</v>
      </c>
      <c r="G62" s="8">
        <v>45314</v>
      </c>
      <c r="H62" s="8" t="str">
        <f t="shared" si="0"/>
        <v>Jan</v>
      </c>
      <c r="I62" s="5">
        <v>5500</v>
      </c>
      <c r="J62" s="5">
        <v>5500</v>
      </c>
      <c r="K62" s="5">
        <f>student_data[[#This Row],[Total Fee]]-student_data[[#This Row],[Deposit Fee]]</f>
        <v>0</v>
      </c>
      <c r="L62" s="5" t="str">
        <f>IF(student_data[[#This Row],[Outstanding Fee]]=0,"Paid",IF(student_data[[#This Row],[Deposit Fee]]=0,"Unpaid","Partially Paid"))</f>
        <v>Paid</v>
      </c>
      <c r="M62" s="5" t="s">
        <v>16</v>
      </c>
      <c r="N62"/>
      <c r="O62"/>
      <c r="P62"/>
      <c r="Q62"/>
      <c r="R62"/>
      <c r="S62"/>
      <c r="T62"/>
      <c r="U62"/>
      <c r="V62"/>
      <c r="W62"/>
    </row>
    <row r="63" spans="1:23" ht="15.4">
      <c r="A63" s="5">
        <v>102</v>
      </c>
      <c r="B63" s="5">
        <v>18102</v>
      </c>
      <c r="C63" s="5" t="s">
        <v>201</v>
      </c>
      <c r="D63" s="5" t="s">
        <v>202</v>
      </c>
      <c r="E63" s="5" t="s">
        <v>25</v>
      </c>
      <c r="F63" s="5" t="s">
        <v>1361</v>
      </c>
      <c r="G63" s="8">
        <v>45315</v>
      </c>
      <c r="H63" s="8" t="str">
        <f t="shared" si="0"/>
        <v>Jan</v>
      </c>
      <c r="I63" s="5">
        <v>5500</v>
      </c>
      <c r="J63" s="5">
        <v>4400</v>
      </c>
      <c r="K63" s="5">
        <f>student_data[[#This Row],[Total Fee]]-student_data[[#This Row],[Deposit Fee]]</f>
        <v>1100</v>
      </c>
      <c r="L63" s="5" t="str">
        <f>IF(student_data[[#This Row],[Outstanding Fee]]=0,"Paid",IF(student_data[[#This Row],[Deposit Fee]]=0,"Unpaid","Partially Paid"))</f>
        <v>Partially Paid</v>
      </c>
      <c r="M63" s="5" t="s">
        <v>19</v>
      </c>
      <c r="N63"/>
      <c r="O63"/>
      <c r="P63"/>
      <c r="Q63"/>
      <c r="R63"/>
      <c r="S63"/>
      <c r="T63"/>
      <c r="U63"/>
      <c r="V63"/>
      <c r="W63"/>
    </row>
    <row r="64" spans="1:23" ht="15.4">
      <c r="A64" s="5">
        <v>103</v>
      </c>
      <c r="B64" s="5">
        <v>18103</v>
      </c>
      <c r="C64" s="5" t="s">
        <v>203</v>
      </c>
      <c r="D64" s="5" t="s">
        <v>103</v>
      </c>
      <c r="E64" s="5" t="s">
        <v>25</v>
      </c>
      <c r="F64" s="5" t="s">
        <v>1361</v>
      </c>
      <c r="G64" s="8">
        <v>45315</v>
      </c>
      <c r="H64" s="8" t="str">
        <f t="shared" si="0"/>
        <v>Jan</v>
      </c>
      <c r="I64" s="5">
        <v>5500</v>
      </c>
      <c r="J64" s="5">
        <v>5500</v>
      </c>
      <c r="K64" s="5">
        <f>student_data[[#This Row],[Total Fee]]-student_data[[#This Row],[Deposit Fee]]</f>
        <v>0</v>
      </c>
      <c r="L64" s="5" t="str">
        <f>IF(student_data[[#This Row],[Outstanding Fee]]=0,"Paid",IF(student_data[[#This Row],[Deposit Fee]]=0,"Unpaid","Partially Paid"))</f>
        <v>Paid</v>
      </c>
      <c r="M64" s="5" t="s">
        <v>47</v>
      </c>
      <c r="N64"/>
      <c r="O64"/>
      <c r="P64"/>
      <c r="Q64"/>
      <c r="R64"/>
      <c r="S64"/>
      <c r="T64"/>
      <c r="U64"/>
      <c r="V64"/>
      <c r="W64"/>
    </row>
    <row r="65" spans="1:23" ht="15.4">
      <c r="A65" s="5">
        <v>104</v>
      </c>
      <c r="B65" s="5">
        <v>18104</v>
      </c>
      <c r="C65" s="5" t="s">
        <v>204</v>
      </c>
      <c r="D65" s="5" t="s">
        <v>205</v>
      </c>
      <c r="E65" s="5" t="s">
        <v>9</v>
      </c>
      <c r="F65" s="5" t="s">
        <v>1361</v>
      </c>
      <c r="G65" s="8">
        <v>45316</v>
      </c>
      <c r="H65" s="8" t="str">
        <f t="shared" si="0"/>
        <v>Jan</v>
      </c>
      <c r="I65" s="5">
        <v>5500</v>
      </c>
      <c r="J65" s="5">
        <v>5100</v>
      </c>
      <c r="K65" s="5">
        <f>student_data[[#This Row],[Total Fee]]-student_data[[#This Row],[Deposit Fee]]</f>
        <v>400</v>
      </c>
      <c r="L65" s="5" t="str">
        <f>IF(student_data[[#This Row],[Outstanding Fee]]=0,"Paid",IF(student_data[[#This Row],[Deposit Fee]]=0,"Unpaid","Partially Paid"))</f>
        <v>Partially Paid</v>
      </c>
      <c r="M65" s="5" t="s">
        <v>75</v>
      </c>
      <c r="N65"/>
      <c r="O65"/>
      <c r="P65"/>
      <c r="Q65"/>
      <c r="R65"/>
      <c r="S65"/>
      <c r="T65"/>
      <c r="U65"/>
      <c r="V65"/>
      <c r="W65"/>
    </row>
    <row r="66" spans="1:23" ht="15.4">
      <c r="A66" s="5">
        <v>105</v>
      </c>
      <c r="B66" s="5">
        <v>18105</v>
      </c>
      <c r="C66" s="5" t="s">
        <v>206</v>
      </c>
      <c r="D66" s="5" t="s">
        <v>207</v>
      </c>
      <c r="E66" s="5" t="s">
        <v>9</v>
      </c>
      <c r="F66" s="5" t="s">
        <v>1361</v>
      </c>
      <c r="G66" s="8">
        <v>45316</v>
      </c>
      <c r="H66" s="8" t="str">
        <f t="shared" ref="H66:H129" si="1">TEXT(G66,"mmm")</f>
        <v>Jan</v>
      </c>
      <c r="I66" s="5">
        <v>5500</v>
      </c>
      <c r="J66" s="5">
        <v>5100</v>
      </c>
      <c r="K66" s="5">
        <f>student_data[[#This Row],[Total Fee]]-student_data[[#This Row],[Deposit Fee]]</f>
        <v>400</v>
      </c>
      <c r="L66" s="5" t="str">
        <f>IF(student_data[[#This Row],[Outstanding Fee]]=0,"Paid",IF(student_data[[#This Row],[Deposit Fee]]=0,"Unpaid","Partially Paid"))</f>
        <v>Partially Paid</v>
      </c>
      <c r="M66" s="5" t="s">
        <v>89</v>
      </c>
      <c r="N66"/>
      <c r="O66"/>
      <c r="P66"/>
      <c r="Q66"/>
      <c r="R66"/>
      <c r="S66"/>
      <c r="T66"/>
      <c r="U66"/>
      <c r="V66"/>
      <c r="W66"/>
    </row>
    <row r="67" spans="1:23" ht="15.4">
      <c r="A67" s="5">
        <v>106</v>
      </c>
      <c r="B67" s="5">
        <v>18106</v>
      </c>
      <c r="C67" s="5" t="s">
        <v>208</v>
      </c>
      <c r="D67" s="5" t="s">
        <v>209</v>
      </c>
      <c r="E67" s="5" t="s">
        <v>25</v>
      </c>
      <c r="F67" s="5" t="s">
        <v>1361</v>
      </c>
      <c r="G67" s="8">
        <v>45316</v>
      </c>
      <c r="H67" s="8" t="str">
        <f t="shared" si="1"/>
        <v>Jan</v>
      </c>
      <c r="I67" s="5">
        <v>5500</v>
      </c>
      <c r="J67" s="5">
        <v>5500</v>
      </c>
      <c r="K67" s="5">
        <f>student_data[[#This Row],[Total Fee]]-student_data[[#This Row],[Deposit Fee]]</f>
        <v>0</v>
      </c>
      <c r="L67" s="5" t="str">
        <f>IF(student_data[[#This Row],[Outstanding Fee]]=0,"Paid",IF(student_data[[#This Row],[Deposit Fee]]=0,"Unpaid","Partially Paid"))</f>
        <v>Paid</v>
      </c>
      <c r="M67" s="5" t="s">
        <v>29</v>
      </c>
      <c r="N67"/>
      <c r="O67"/>
      <c r="P67"/>
      <c r="Q67"/>
      <c r="R67"/>
      <c r="S67"/>
      <c r="T67"/>
      <c r="U67"/>
      <c r="V67"/>
      <c r="W67"/>
    </row>
    <row r="68" spans="1:23" ht="15.4">
      <c r="A68" s="5">
        <v>107</v>
      </c>
      <c r="B68" s="5">
        <v>18107</v>
      </c>
      <c r="C68" s="5" t="s">
        <v>210</v>
      </c>
      <c r="D68" s="5" t="s">
        <v>211</v>
      </c>
      <c r="E68" s="5" t="s">
        <v>9</v>
      </c>
      <c r="F68" s="5" t="s">
        <v>1361</v>
      </c>
      <c r="G68" s="8">
        <v>45317</v>
      </c>
      <c r="H68" s="8" t="str">
        <f t="shared" si="1"/>
        <v>Jan</v>
      </c>
      <c r="I68" s="5">
        <v>5500</v>
      </c>
      <c r="J68" s="5">
        <v>4900</v>
      </c>
      <c r="K68" s="5">
        <f>student_data[[#This Row],[Total Fee]]-student_data[[#This Row],[Deposit Fee]]</f>
        <v>600</v>
      </c>
      <c r="L68" s="5" t="str">
        <f>IF(student_data[[#This Row],[Outstanding Fee]]=0,"Paid",IF(student_data[[#This Row],[Deposit Fee]]=0,"Unpaid","Partially Paid"))</f>
        <v>Partially Paid</v>
      </c>
      <c r="M68" s="5" t="s">
        <v>10</v>
      </c>
      <c r="N68"/>
      <c r="O68"/>
      <c r="P68"/>
      <c r="Q68"/>
      <c r="R68"/>
      <c r="S68"/>
      <c r="T68"/>
      <c r="U68"/>
      <c r="V68"/>
      <c r="W68"/>
    </row>
    <row r="69" spans="1:23" ht="15.4">
      <c r="A69" s="5">
        <v>108</v>
      </c>
      <c r="B69" s="5">
        <v>18108</v>
      </c>
      <c r="C69" s="5" t="s">
        <v>212</v>
      </c>
      <c r="D69" s="5" t="s">
        <v>117</v>
      </c>
      <c r="E69" s="5" t="s">
        <v>25</v>
      </c>
      <c r="F69" s="5" t="s">
        <v>1361</v>
      </c>
      <c r="G69" s="8">
        <v>45317</v>
      </c>
      <c r="H69" s="8" t="str">
        <f t="shared" si="1"/>
        <v>Jan</v>
      </c>
      <c r="I69" s="5">
        <v>5500</v>
      </c>
      <c r="J69" s="5">
        <v>5500</v>
      </c>
      <c r="K69" s="5">
        <f>student_data[[#This Row],[Total Fee]]-student_data[[#This Row],[Deposit Fee]]</f>
        <v>0</v>
      </c>
      <c r="L69" s="5" t="str">
        <f>IF(student_data[[#This Row],[Outstanding Fee]]=0,"Paid",IF(student_data[[#This Row],[Deposit Fee]]=0,"Unpaid","Partially Paid"))</f>
        <v>Paid</v>
      </c>
      <c r="M69" s="5" t="s">
        <v>13</v>
      </c>
      <c r="N69"/>
      <c r="O69"/>
      <c r="P69"/>
      <c r="Q69"/>
      <c r="R69"/>
      <c r="S69"/>
      <c r="T69"/>
      <c r="U69"/>
      <c r="V69"/>
      <c r="W69"/>
    </row>
    <row r="70" spans="1:23" ht="15.4">
      <c r="A70" s="5">
        <v>109</v>
      </c>
      <c r="B70" s="5">
        <v>18109</v>
      </c>
      <c r="C70" s="5" t="s">
        <v>213</v>
      </c>
      <c r="D70" s="5" t="s">
        <v>214</v>
      </c>
      <c r="E70" s="5" t="s">
        <v>9</v>
      </c>
      <c r="F70" s="5" t="s">
        <v>1361</v>
      </c>
      <c r="G70" s="8">
        <v>45317</v>
      </c>
      <c r="H70" s="8" t="str">
        <f t="shared" si="1"/>
        <v>Jan</v>
      </c>
      <c r="I70" s="5">
        <v>5500</v>
      </c>
      <c r="J70" s="5">
        <v>4500</v>
      </c>
      <c r="K70" s="5">
        <f>student_data[[#This Row],[Total Fee]]-student_data[[#This Row],[Deposit Fee]]</f>
        <v>1000</v>
      </c>
      <c r="L70" s="5" t="str">
        <f>IF(student_data[[#This Row],[Outstanding Fee]]=0,"Paid",IF(student_data[[#This Row],[Deposit Fee]]=0,"Unpaid","Partially Paid"))</f>
        <v>Partially Paid</v>
      </c>
      <c r="M70" s="5" t="s">
        <v>38</v>
      </c>
      <c r="N70"/>
      <c r="O70"/>
      <c r="P70"/>
      <c r="Q70"/>
      <c r="R70"/>
      <c r="S70"/>
      <c r="T70"/>
      <c r="U70"/>
      <c r="V70"/>
      <c r="W70"/>
    </row>
    <row r="71" spans="1:23" ht="15.4">
      <c r="A71" s="5">
        <v>110</v>
      </c>
      <c r="B71" s="5">
        <v>18110</v>
      </c>
      <c r="C71" s="5" t="s">
        <v>215</v>
      </c>
      <c r="D71" s="5" t="s">
        <v>216</v>
      </c>
      <c r="E71" s="5" t="s">
        <v>9</v>
      </c>
      <c r="F71" s="5" t="s">
        <v>1361</v>
      </c>
      <c r="G71" s="8">
        <v>45317</v>
      </c>
      <c r="H71" s="8" t="str">
        <f t="shared" si="1"/>
        <v>Jan</v>
      </c>
      <c r="I71" s="5">
        <v>5500</v>
      </c>
      <c r="J71" s="5">
        <v>4900</v>
      </c>
      <c r="K71" s="5">
        <f>student_data[[#This Row],[Total Fee]]-student_data[[#This Row],[Deposit Fee]]</f>
        <v>600</v>
      </c>
      <c r="L71" s="5" t="str">
        <f>IF(student_data[[#This Row],[Outstanding Fee]]=0,"Paid",IF(student_data[[#This Row],[Deposit Fee]]=0,"Unpaid","Partially Paid"))</f>
        <v>Partially Paid</v>
      </c>
      <c r="M71" s="5" t="s">
        <v>78</v>
      </c>
      <c r="N71"/>
      <c r="O71"/>
      <c r="P71"/>
      <c r="Q71"/>
      <c r="R71"/>
      <c r="S71"/>
      <c r="T71"/>
      <c r="U71"/>
      <c r="V71"/>
      <c r="W71"/>
    </row>
    <row r="72" spans="1:23" ht="15.4">
      <c r="A72" s="5">
        <v>111</v>
      </c>
      <c r="B72" s="5">
        <v>18111</v>
      </c>
      <c r="C72" s="5" t="s">
        <v>217</v>
      </c>
      <c r="D72" s="5" t="s">
        <v>117</v>
      </c>
      <c r="E72" s="5" t="s">
        <v>25</v>
      </c>
      <c r="F72" s="5" t="s">
        <v>1361</v>
      </c>
      <c r="G72" s="8">
        <v>45318</v>
      </c>
      <c r="H72" s="8" t="str">
        <f t="shared" si="1"/>
        <v>Jan</v>
      </c>
      <c r="I72" s="5">
        <v>5500</v>
      </c>
      <c r="J72" s="5">
        <v>5500</v>
      </c>
      <c r="K72" s="5">
        <f>student_data[[#This Row],[Total Fee]]-student_data[[#This Row],[Deposit Fee]]</f>
        <v>0</v>
      </c>
      <c r="L72" s="5" t="str">
        <f>IF(student_data[[#This Row],[Outstanding Fee]]=0,"Paid",IF(student_data[[#This Row],[Deposit Fee]]=0,"Unpaid","Partially Paid"))</f>
        <v>Paid</v>
      </c>
      <c r="M72" s="5" t="s">
        <v>16</v>
      </c>
      <c r="N72"/>
      <c r="O72"/>
      <c r="P72"/>
      <c r="Q72"/>
      <c r="R72"/>
      <c r="S72"/>
      <c r="T72"/>
      <c r="U72"/>
      <c r="V72"/>
      <c r="W72"/>
    </row>
    <row r="73" spans="1:23" ht="15.4">
      <c r="A73" s="5">
        <v>112</v>
      </c>
      <c r="B73" s="5">
        <v>18112</v>
      </c>
      <c r="C73" s="5" t="s">
        <v>218</v>
      </c>
      <c r="D73" s="5" t="s">
        <v>219</v>
      </c>
      <c r="E73" s="5" t="s">
        <v>25</v>
      </c>
      <c r="F73" s="5" t="s">
        <v>1361</v>
      </c>
      <c r="G73" s="8">
        <v>45318</v>
      </c>
      <c r="H73" s="8" t="str">
        <f t="shared" si="1"/>
        <v>Jan</v>
      </c>
      <c r="I73" s="5">
        <v>5500</v>
      </c>
      <c r="J73" s="5">
        <v>4900</v>
      </c>
      <c r="K73" s="5">
        <f>student_data[[#This Row],[Total Fee]]-student_data[[#This Row],[Deposit Fee]]</f>
        <v>600</v>
      </c>
      <c r="L73" s="5" t="str">
        <f>IF(student_data[[#This Row],[Outstanding Fee]]=0,"Paid",IF(student_data[[#This Row],[Deposit Fee]]=0,"Unpaid","Partially Paid"))</f>
        <v>Partially Paid</v>
      </c>
      <c r="M73" s="5" t="s">
        <v>19</v>
      </c>
      <c r="N73"/>
      <c r="O73"/>
      <c r="P73"/>
      <c r="Q73"/>
      <c r="R73"/>
      <c r="S73"/>
      <c r="T73"/>
      <c r="U73"/>
      <c r="V73"/>
      <c r="W73"/>
    </row>
    <row r="74" spans="1:23" ht="15.4">
      <c r="A74" s="5">
        <v>113</v>
      </c>
      <c r="B74" s="5">
        <v>18113</v>
      </c>
      <c r="C74" s="5" t="s">
        <v>220</v>
      </c>
      <c r="D74" s="5" t="s">
        <v>221</v>
      </c>
      <c r="E74" s="5" t="s">
        <v>9</v>
      </c>
      <c r="F74" s="5" t="s">
        <v>1361</v>
      </c>
      <c r="G74" s="8">
        <v>45320</v>
      </c>
      <c r="H74" s="8" t="str">
        <f t="shared" si="1"/>
        <v>Jan</v>
      </c>
      <c r="I74" s="5">
        <v>5500</v>
      </c>
      <c r="J74" s="5">
        <v>5500</v>
      </c>
      <c r="K74" s="5">
        <f>student_data[[#This Row],[Total Fee]]-student_data[[#This Row],[Deposit Fee]]</f>
        <v>0</v>
      </c>
      <c r="L74" s="5" t="str">
        <f>IF(student_data[[#This Row],[Outstanding Fee]]=0,"Paid",IF(student_data[[#This Row],[Deposit Fee]]=0,"Unpaid","Partially Paid"))</f>
        <v>Paid</v>
      </c>
      <c r="M74" s="5" t="s">
        <v>47</v>
      </c>
      <c r="N74"/>
      <c r="O74"/>
      <c r="P74"/>
      <c r="Q74"/>
      <c r="R74"/>
      <c r="S74"/>
      <c r="T74"/>
      <c r="U74"/>
      <c r="V74"/>
      <c r="W74"/>
    </row>
    <row r="75" spans="1:23" ht="15.4">
      <c r="A75" s="5">
        <v>114</v>
      </c>
      <c r="B75" s="5">
        <v>18114</v>
      </c>
      <c r="C75" s="5" t="s">
        <v>222</v>
      </c>
      <c r="D75" s="5" t="s">
        <v>216</v>
      </c>
      <c r="E75" s="5" t="s">
        <v>9</v>
      </c>
      <c r="F75" s="5" t="s">
        <v>1361</v>
      </c>
      <c r="G75" s="8">
        <v>45320</v>
      </c>
      <c r="H75" s="8" t="str">
        <f t="shared" si="1"/>
        <v>Jan</v>
      </c>
      <c r="I75" s="5">
        <v>5500</v>
      </c>
      <c r="J75" s="5">
        <v>4900</v>
      </c>
      <c r="K75" s="5">
        <f>student_data[[#This Row],[Total Fee]]-student_data[[#This Row],[Deposit Fee]]</f>
        <v>600</v>
      </c>
      <c r="L75" s="5" t="str">
        <f>IF(student_data[[#This Row],[Outstanding Fee]]=0,"Paid",IF(student_data[[#This Row],[Deposit Fee]]=0,"Unpaid","Partially Paid"))</f>
        <v>Partially Paid</v>
      </c>
      <c r="M75" s="5" t="s">
        <v>75</v>
      </c>
      <c r="N75"/>
      <c r="O75"/>
      <c r="P75"/>
      <c r="Q75"/>
      <c r="R75"/>
      <c r="S75"/>
      <c r="T75"/>
      <c r="U75"/>
      <c r="V75"/>
      <c r="W75"/>
    </row>
    <row r="76" spans="1:23" ht="15.4">
      <c r="A76" s="5">
        <v>115</v>
      </c>
      <c r="B76" s="5">
        <v>18115</v>
      </c>
      <c r="C76" s="5" t="s">
        <v>223</v>
      </c>
      <c r="D76" s="5" t="s">
        <v>224</v>
      </c>
      <c r="E76" s="5" t="s">
        <v>9</v>
      </c>
      <c r="F76" s="5" t="s">
        <v>1361</v>
      </c>
      <c r="G76" s="8">
        <v>45320</v>
      </c>
      <c r="H76" s="8" t="str">
        <f t="shared" si="1"/>
        <v>Jan</v>
      </c>
      <c r="I76" s="5">
        <v>5500</v>
      </c>
      <c r="J76" s="5">
        <v>5500</v>
      </c>
      <c r="K76" s="5">
        <f>student_data[[#This Row],[Total Fee]]-student_data[[#This Row],[Deposit Fee]]</f>
        <v>0</v>
      </c>
      <c r="L76" s="5" t="str">
        <f>IF(student_data[[#This Row],[Outstanding Fee]]=0,"Paid",IF(student_data[[#This Row],[Deposit Fee]]=0,"Unpaid","Partially Paid"))</f>
        <v>Paid</v>
      </c>
      <c r="M76" s="5" t="s">
        <v>89</v>
      </c>
      <c r="N76"/>
      <c r="O76"/>
      <c r="P76"/>
      <c r="Q76"/>
      <c r="R76"/>
      <c r="S76"/>
      <c r="T76"/>
      <c r="U76"/>
      <c r="V76"/>
      <c r="W76"/>
    </row>
    <row r="77" spans="1:23" ht="15.4">
      <c r="A77" s="5">
        <v>116</v>
      </c>
      <c r="B77" s="5">
        <v>18116</v>
      </c>
      <c r="C77" s="5" t="s">
        <v>225</v>
      </c>
      <c r="D77" s="5" t="s">
        <v>226</v>
      </c>
      <c r="E77" s="5" t="s">
        <v>9</v>
      </c>
      <c r="F77" s="5" t="s">
        <v>1361</v>
      </c>
      <c r="G77" s="8">
        <v>45321</v>
      </c>
      <c r="H77" s="8" t="str">
        <f t="shared" si="1"/>
        <v>Jan</v>
      </c>
      <c r="I77" s="5">
        <v>5500</v>
      </c>
      <c r="J77" s="5">
        <v>5500</v>
      </c>
      <c r="K77" s="5">
        <f>student_data[[#This Row],[Total Fee]]-student_data[[#This Row],[Deposit Fee]]</f>
        <v>0</v>
      </c>
      <c r="L77" s="5" t="str">
        <f>IF(student_data[[#This Row],[Outstanding Fee]]=0,"Paid",IF(student_data[[#This Row],[Deposit Fee]]=0,"Unpaid","Partially Paid"))</f>
        <v>Paid</v>
      </c>
      <c r="M77" s="5" t="s">
        <v>29</v>
      </c>
      <c r="N77"/>
      <c r="O77"/>
      <c r="P77"/>
      <c r="Q77"/>
      <c r="R77"/>
      <c r="S77"/>
      <c r="T77"/>
      <c r="U77"/>
      <c r="V77"/>
      <c r="W77"/>
    </row>
    <row r="78" spans="1:23" ht="15.4">
      <c r="A78" s="5">
        <v>117</v>
      </c>
      <c r="B78" s="5">
        <v>18117</v>
      </c>
      <c r="C78" s="5" t="s">
        <v>227</v>
      </c>
      <c r="D78" s="5" t="s">
        <v>228</v>
      </c>
      <c r="E78" s="5" t="s">
        <v>25</v>
      </c>
      <c r="F78" s="5" t="s">
        <v>1361</v>
      </c>
      <c r="G78" s="8">
        <v>45321</v>
      </c>
      <c r="H78" s="8" t="str">
        <f t="shared" si="1"/>
        <v>Jan</v>
      </c>
      <c r="I78" s="5">
        <v>5500</v>
      </c>
      <c r="J78" s="5">
        <v>5100</v>
      </c>
      <c r="K78" s="5">
        <f>student_data[[#This Row],[Total Fee]]-student_data[[#This Row],[Deposit Fee]]</f>
        <v>400</v>
      </c>
      <c r="L78" s="5" t="str">
        <f>IF(student_data[[#This Row],[Outstanding Fee]]=0,"Paid",IF(student_data[[#This Row],[Deposit Fee]]=0,"Unpaid","Partially Paid"))</f>
        <v>Partially Paid</v>
      </c>
      <c r="M78" s="5" t="s">
        <v>75</v>
      </c>
      <c r="N78"/>
      <c r="O78"/>
      <c r="P78"/>
      <c r="Q78"/>
      <c r="R78"/>
      <c r="S78"/>
      <c r="T78"/>
      <c r="U78"/>
      <c r="V78"/>
      <c r="W78"/>
    </row>
    <row r="79" spans="1:23" ht="15.4">
      <c r="A79" s="5">
        <v>118</v>
      </c>
      <c r="B79" s="5">
        <v>18118</v>
      </c>
      <c r="C79" s="5" t="s">
        <v>229</v>
      </c>
      <c r="D79" s="5" t="s">
        <v>230</v>
      </c>
      <c r="E79" s="5" t="s">
        <v>9</v>
      </c>
      <c r="F79" s="5" t="s">
        <v>1361</v>
      </c>
      <c r="G79" s="8">
        <v>45321</v>
      </c>
      <c r="H79" s="8" t="str">
        <f t="shared" si="1"/>
        <v>Jan</v>
      </c>
      <c r="I79" s="5">
        <v>5500</v>
      </c>
      <c r="J79" s="5">
        <v>5100</v>
      </c>
      <c r="K79" s="5">
        <f>student_data[[#This Row],[Total Fee]]-student_data[[#This Row],[Deposit Fee]]</f>
        <v>400</v>
      </c>
      <c r="L79" s="5" t="str">
        <f>IF(student_data[[#This Row],[Outstanding Fee]]=0,"Paid",IF(student_data[[#This Row],[Deposit Fee]]=0,"Unpaid","Partially Paid"))</f>
        <v>Partially Paid</v>
      </c>
      <c r="M79" s="5" t="s">
        <v>75</v>
      </c>
      <c r="N79"/>
      <c r="O79"/>
      <c r="P79"/>
      <c r="Q79"/>
      <c r="R79"/>
      <c r="S79"/>
      <c r="T79"/>
      <c r="U79"/>
      <c r="V79"/>
      <c r="W79"/>
    </row>
    <row r="80" spans="1:23" ht="15.4">
      <c r="A80" s="5">
        <v>119</v>
      </c>
      <c r="B80" s="5">
        <v>18119</v>
      </c>
      <c r="C80" s="5" t="s">
        <v>231</v>
      </c>
      <c r="D80" s="5" t="s">
        <v>232</v>
      </c>
      <c r="E80" s="5" t="s">
        <v>25</v>
      </c>
      <c r="F80" s="5" t="s">
        <v>1361</v>
      </c>
      <c r="G80" s="8">
        <v>45322</v>
      </c>
      <c r="H80" s="8" t="str">
        <f t="shared" si="1"/>
        <v>Jan</v>
      </c>
      <c r="I80" s="5">
        <v>5500</v>
      </c>
      <c r="J80" s="5">
        <v>4900</v>
      </c>
      <c r="K80" s="5">
        <f>student_data[[#This Row],[Total Fee]]-student_data[[#This Row],[Deposit Fee]]</f>
        <v>600</v>
      </c>
      <c r="L80" s="5" t="str">
        <f>IF(student_data[[#This Row],[Outstanding Fee]]=0,"Paid",IF(student_data[[#This Row],[Deposit Fee]]=0,"Unpaid","Partially Paid"))</f>
        <v>Partially Paid</v>
      </c>
      <c r="M80" s="5" t="s">
        <v>19</v>
      </c>
      <c r="N80"/>
      <c r="O80"/>
      <c r="P80"/>
      <c r="Q80"/>
      <c r="R80"/>
      <c r="S80"/>
      <c r="T80"/>
      <c r="U80"/>
      <c r="V80"/>
      <c r="W80"/>
    </row>
    <row r="81" spans="1:23" ht="15.4">
      <c r="A81" s="5">
        <v>914</v>
      </c>
      <c r="B81" s="5">
        <v>18914</v>
      </c>
      <c r="C81" s="5" t="s">
        <v>64</v>
      </c>
      <c r="D81" s="5" t="s">
        <v>1352</v>
      </c>
      <c r="E81" s="5" t="s">
        <v>9</v>
      </c>
      <c r="F81" s="5" t="s">
        <v>1361</v>
      </c>
      <c r="G81" s="8">
        <v>45322</v>
      </c>
      <c r="H81" s="8" t="str">
        <f t="shared" si="1"/>
        <v>Jan</v>
      </c>
      <c r="I81" s="5">
        <v>5500</v>
      </c>
      <c r="J81" s="5">
        <v>4900</v>
      </c>
      <c r="K81" s="5">
        <f>student_data[[#This Row],[Total Fee]]-student_data[[#This Row],[Deposit Fee]]</f>
        <v>600</v>
      </c>
      <c r="L81" s="5" t="str">
        <f>IF(student_data[[#This Row],[Outstanding Fee]]=0,"Paid",IF(student_data[[#This Row],[Deposit Fee]]=0,"Unpaid","Partially Paid"))</f>
        <v>Partially Paid</v>
      </c>
      <c r="M81" s="5" t="s">
        <v>22</v>
      </c>
      <c r="N81"/>
      <c r="O81"/>
      <c r="P81"/>
      <c r="Q81"/>
      <c r="R81"/>
      <c r="S81"/>
      <c r="T81"/>
      <c r="U81"/>
      <c r="V81"/>
      <c r="W81"/>
    </row>
    <row r="82" spans="1:23" ht="15.4">
      <c r="A82" s="5">
        <v>915</v>
      </c>
      <c r="B82" s="5">
        <v>18915</v>
      </c>
      <c r="C82" s="5" t="s">
        <v>948</v>
      </c>
      <c r="D82" s="5" t="s">
        <v>1353</v>
      </c>
      <c r="E82" s="5" t="s">
        <v>9</v>
      </c>
      <c r="F82" s="5" t="s">
        <v>1361</v>
      </c>
      <c r="G82" s="8">
        <v>45322</v>
      </c>
      <c r="H82" s="8" t="str">
        <f t="shared" si="1"/>
        <v>Jan</v>
      </c>
      <c r="I82" s="5">
        <v>5500</v>
      </c>
      <c r="J82" s="5">
        <v>4900</v>
      </c>
      <c r="K82" s="5">
        <f>student_data[[#This Row],[Total Fee]]-student_data[[#This Row],[Deposit Fee]]</f>
        <v>600</v>
      </c>
      <c r="L82" s="5" t="str">
        <f>IF(student_data[[#This Row],[Outstanding Fee]]=0,"Paid",IF(student_data[[#This Row],[Deposit Fee]]=0,"Unpaid","Partially Paid"))</f>
        <v>Partially Paid</v>
      </c>
      <c r="M82" s="5" t="s">
        <v>26</v>
      </c>
      <c r="N82"/>
      <c r="O82"/>
      <c r="P82"/>
      <c r="Q82"/>
      <c r="R82"/>
      <c r="S82"/>
      <c r="T82"/>
      <c r="U82"/>
      <c r="V82"/>
      <c r="W82"/>
    </row>
    <row r="83" spans="1:23" ht="15.4">
      <c r="A83" s="5">
        <v>916</v>
      </c>
      <c r="B83" s="5">
        <v>18916</v>
      </c>
      <c r="C83" s="5" t="s">
        <v>945</v>
      </c>
      <c r="D83" s="5" t="s">
        <v>793</v>
      </c>
      <c r="E83" s="5" t="s">
        <v>25</v>
      </c>
      <c r="F83" s="5" t="s">
        <v>1361</v>
      </c>
      <c r="G83" s="8">
        <v>45322</v>
      </c>
      <c r="H83" s="8" t="str">
        <f t="shared" si="1"/>
        <v>Jan</v>
      </c>
      <c r="I83" s="5">
        <v>5500</v>
      </c>
      <c r="J83" s="5">
        <v>4900</v>
      </c>
      <c r="K83" s="5">
        <f>student_data[[#This Row],[Total Fee]]-student_data[[#This Row],[Deposit Fee]]</f>
        <v>600</v>
      </c>
      <c r="L83" s="5" t="str">
        <f>IF(student_data[[#This Row],[Outstanding Fee]]=0,"Paid",IF(student_data[[#This Row],[Deposit Fee]]=0,"Unpaid","Partially Paid"))</f>
        <v>Partially Paid</v>
      </c>
      <c r="M83" s="5" t="s">
        <v>10</v>
      </c>
      <c r="N83"/>
      <c r="O83"/>
      <c r="P83"/>
      <c r="Q83"/>
      <c r="R83"/>
      <c r="S83"/>
      <c r="T83"/>
      <c r="U83"/>
      <c r="V83"/>
      <c r="W83"/>
    </row>
    <row r="84" spans="1:23" ht="15.4">
      <c r="A84" s="5">
        <v>917</v>
      </c>
      <c r="B84" s="5">
        <v>18917</v>
      </c>
      <c r="C84" s="5" t="s">
        <v>130</v>
      </c>
      <c r="D84" s="5" t="s">
        <v>103</v>
      </c>
      <c r="E84" s="5" t="s">
        <v>9</v>
      </c>
      <c r="F84" s="5" t="s">
        <v>1361</v>
      </c>
      <c r="G84" s="8">
        <v>45322</v>
      </c>
      <c r="H84" s="8" t="str">
        <f t="shared" si="1"/>
        <v>Jan</v>
      </c>
      <c r="I84" s="5">
        <v>5500</v>
      </c>
      <c r="J84" s="5">
        <v>5500</v>
      </c>
      <c r="K84" s="5">
        <f>student_data[[#This Row],[Total Fee]]-student_data[[#This Row],[Deposit Fee]]</f>
        <v>0</v>
      </c>
      <c r="L84" s="5" t="str">
        <f>IF(student_data[[#This Row],[Outstanding Fee]]=0,"Paid",IF(student_data[[#This Row],[Deposit Fee]]=0,"Unpaid","Partially Paid"))</f>
        <v>Paid</v>
      </c>
      <c r="M84" s="5" t="s">
        <v>47</v>
      </c>
      <c r="N84"/>
      <c r="O84"/>
      <c r="P84"/>
      <c r="Q84"/>
      <c r="R84"/>
      <c r="S84"/>
      <c r="T84"/>
      <c r="U84"/>
      <c r="V84"/>
      <c r="W84"/>
    </row>
    <row r="85" spans="1:23" ht="15.4">
      <c r="A85" s="5">
        <v>918</v>
      </c>
      <c r="B85" s="5">
        <v>18918</v>
      </c>
      <c r="C85" s="5" t="s">
        <v>949</v>
      </c>
      <c r="D85" s="5" t="s">
        <v>117</v>
      </c>
      <c r="E85" s="5" t="s">
        <v>9</v>
      </c>
      <c r="F85" s="5" t="s">
        <v>1361</v>
      </c>
      <c r="G85" s="8">
        <v>45322</v>
      </c>
      <c r="H85" s="8" t="str">
        <f t="shared" si="1"/>
        <v>Jan</v>
      </c>
      <c r="I85" s="5">
        <v>5500</v>
      </c>
      <c r="J85" s="5">
        <v>5500</v>
      </c>
      <c r="K85" s="5">
        <f>student_data[[#This Row],[Total Fee]]-student_data[[#This Row],[Deposit Fee]]</f>
        <v>0</v>
      </c>
      <c r="L85" s="5" t="str">
        <f>IF(student_data[[#This Row],[Outstanding Fee]]=0,"Paid",IF(student_data[[#This Row],[Deposit Fee]]=0,"Unpaid","Partially Paid"))</f>
        <v>Paid</v>
      </c>
      <c r="M85" s="5" t="s">
        <v>50</v>
      </c>
      <c r="N85"/>
      <c r="O85"/>
      <c r="P85"/>
      <c r="Q85"/>
      <c r="R85"/>
      <c r="S85"/>
      <c r="T85"/>
      <c r="U85"/>
      <c r="V85"/>
      <c r="W85"/>
    </row>
    <row r="86" spans="1:23" ht="15.4">
      <c r="A86" s="5">
        <v>919</v>
      </c>
      <c r="B86" s="5">
        <v>18919</v>
      </c>
      <c r="C86" s="5" t="s">
        <v>173</v>
      </c>
      <c r="D86" s="5" t="s">
        <v>1354</v>
      </c>
      <c r="E86" s="5" t="s">
        <v>9</v>
      </c>
      <c r="F86" s="5" t="s">
        <v>1361</v>
      </c>
      <c r="G86" s="8">
        <v>45322</v>
      </c>
      <c r="H86" s="8" t="str">
        <f t="shared" si="1"/>
        <v>Jan</v>
      </c>
      <c r="I86" s="5">
        <v>5500</v>
      </c>
      <c r="J86" s="5">
        <v>5500</v>
      </c>
      <c r="K86" s="5">
        <f>student_data[[#This Row],[Total Fee]]-student_data[[#This Row],[Deposit Fee]]</f>
        <v>0</v>
      </c>
      <c r="L86" s="5" t="str">
        <f>IF(student_data[[#This Row],[Outstanding Fee]]=0,"Paid",IF(student_data[[#This Row],[Deposit Fee]]=0,"Unpaid","Partially Paid"))</f>
        <v>Paid</v>
      </c>
      <c r="M86" s="5" t="s">
        <v>53</v>
      </c>
      <c r="N86"/>
      <c r="O86"/>
      <c r="P86"/>
      <c r="Q86"/>
      <c r="R86"/>
      <c r="S86"/>
      <c r="T86"/>
      <c r="U86"/>
      <c r="V86"/>
      <c r="W86"/>
    </row>
    <row r="87" spans="1:23" ht="15.4">
      <c r="A87" s="5">
        <v>830</v>
      </c>
      <c r="B87" s="5">
        <v>18830</v>
      </c>
      <c r="C87" s="5" t="s">
        <v>930</v>
      </c>
      <c r="D87" s="5" t="s">
        <v>632</v>
      </c>
      <c r="E87" s="5" t="s">
        <v>25</v>
      </c>
      <c r="F87" s="5" t="s">
        <v>1361</v>
      </c>
      <c r="G87" s="8">
        <v>45324</v>
      </c>
      <c r="H87" s="8" t="str">
        <f t="shared" si="1"/>
        <v>Feb</v>
      </c>
      <c r="I87" s="5">
        <v>5500</v>
      </c>
      <c r="J87" s="5">
        <v>5500</v>
      </c>
      <c r="K87" s="5">
        <f>student_data[[#This Row],[Total Fee]]-student_data[[#This Row],[Deposit Fee]]</f>
        <v>0</v>
      </c>
      <c r="L87" s="5" t="str">
        <f>IF(student_data[[#This Row],[Outstanding Fee]]=0,"Paid",IF(student_data[[#This Row],[Deposit Fee]]=0,"Unpaid","Partially Paid"))</f>
        <v>Paid</v>
      </c>
      <c r="M87" s="5" t="s">
        <v>47</v>
      </c>
      <c r="N87"/>
      <c r="O87"/>
      <c r="P87"/>
      <c r="Q87"/>
      <c r="R87"/>
      <c r="S87"/>
      <c r="T87"/>
      <c r="U87"/>
      <c r="V87"/>
      <c r="W87"/>
    </row>
    <row r="88" spans="1:23" ht="15.4">
      <c r="A88" s="5">
        <v>831</v>
      </c>
      <c r="B88" s="5">
        <v>18831</v>
      </c>
      <c r="C88" s="5" t="s">
        <v>912</v>
      </c>
      <c r="D88" s="5" t="s">
        <v>1273</v>
      </c>
      <c r="E88" s="5" t="s">
        <v>25</v>
      </c>
      <c r="F88" s="5" t="s">
        <v>1361</v>
      </c>
      <c r="G88" s="8">
        <v>45324</v>
      </c>
      <c r="H88" s="8" t="str">
        <f t="shared" si="1"/>
        <v>Feb</v>
      </c>
      <c r="I88" s="5">
        <v>5500</v>
      </c>
      <c r="J88" s="5">
        <v>5500</v>
      </c>
      <c r="K88" s="5">
        <f>student_data[[#This Row],[Total Fee]]-student_data[[#This Row],[Deposit Fee]]</f>
        <v>0</v>
      </c>
      <c r="L88" s="5" t="str">
        <f>IF(student_data[[#This Row],[Outstanding Fee]]=0,"Paid",IF(student_data[[#This Row],[Deposit Fee]]=0,"Unpaid","Partially Paid"))</f>
        <v>Paid</v>
      </c>
      <c r="M88" s="5" t="s">
        <v>75</v>
      </c>
      <c r="N88"/>
      <c r="O88"/>
      <c r="P88"/>
      <c r="Q88"/>
      <c r="R88"/>
      <c r="S88"/>
      <c r="T88"/>
      <c r="U88"/>
      <c r="V88"/>
      <c r="W88"/>
    </row>
    <row r="89" spans="1:23" ht="15.4">
      <c r="A89" s="5">
        <v>832</v>
      </c>
      <c r="B89" s="5">
        <v>18832</v>
      </c>
      <c r="C89" s="5" t="s">
        <v>922</v>
      </c>
      <c r="D89" s="5" t="s">
        <v>1274</v>
      </c>
      <c r="E89" s="5" t="s">
        <v>25</v>
      </c>
      <c r="F89" s="5" t="s">
        <v>1361</v>
      </c>
      <c r="G89" s="8">
        <v>45324</v>
      </c>
      <c r="H89" s="8" t="str">
        <f t="shared" si="1"/>
        <v>Feb</v>
      </c>
      <c r="I89" s="5">
        <v>5500</v>
      </c>
      <c r="J89" s="5">
        <v>5500</v>
      </c>
      <c r="K89" s="5">
        <f>student_data[[#This Row],[Total Fee]]-student_data[[#This Row],[Deposit Fee]]</f>
        <v>0</v>
      </c>
      <c r="L89" s="5" t="str">
        <f>IF(student_data[[#This Row],[Outstanding Fee]]=0,"Paid",IF(student_data[[#This Row],[Deposit Fee]]=0,"Unpaid","Partially Paid"))</f>
        <v>Paid</v>
      </c>
      <c r="M89" s="5" t="s">
        <v>89</v>
      </c>
      <c r="N89"/>
      <c r="O89"/>
      <c r="P89"/>
      <c r="Q89"/>
      <c r="R89"/>
      <c r="S89"/>
      <c r="T89"/>
      <c r="U89"/>
      <c r="V89"/>
      <c r="W89"/>
    </row>
    <row r="90" spans="1:23" ht="15.4">
      <c r="A90" s="5">
        <v>833</v>
      </c>
      <c r="B90" s="5">
        <v>18833</v>
      </c>
      <c r="C90" s="5" t="s">
        <v>926</v>
      </c>
      <c r="D90" s="5" t="s">
        <v>1275</v>
      </c>
      <c r="E90" s="5" t="s">
        <v>9</v>
      </c>
      <c r="F90" s="5" t="s">
        <v>1361</v>
      </c>
      <c r="G90" s="8">
        <v>45325</v>
      </c>
      <c r="H90" s="8" t="str">
        <f t="shared" si="1"/>
        <v>Feb</v>
      </c>
      <c r="I90" s="5">
        <v>5500</v>
      </c>
      <c r="J90" s="5">
        <v>5100</v>
      </c>
      <c r="K90" s="5">
        <f>student_data[[#This Row],[Total Fee]]-student_data[[#This Row],[Deposit Fee]]</f>
        <v>400</v>
      </c>
      <c r="L90" s="5" t="str">
        <f>IF(student_data[[#This Row],[Outstanding Fee]]=0,"Paid",IF(student_data[[#This Row],[Deposit Fee]]=0,"Unpaid","Partially Paid"))</f>
        <v>Partially Paid</v>
      </c>
      <c r="M90" s="5" t="s">
        <v>29</v>
      </c>
      <c r="N90"/>
      <c r="O90"/>
      <c r="P90"/>
      <c r="Q90"/>
      <c r="R90"/>
      <c r="S90"/>
      <c r="T90"/>
      <c r="U90"/>
      <c r="V90"/>
      <c r="W90"/>
    </row>
    <row r="91" spans="1:23" ht="15.4">
      <c r="A91" s="5">
        <v>834</v>
      </c>
      <c r="B91" s="5">
        <v>18834</v>
      </c>
      <c r="C91" s="5" t="s">
        <v>501</v>
      </c>
      <c r="D91" s="5" t="s">
        <v>224</v>
      </c>
      <c r="E91" s="5" t="s">
        <v>9</v>
      </c>
      <c r="F91" s="5" t="s">
        <v>1361</v>
      </c>
      <c r="G91" s="8">
        <v>45325</v>
      </c>
      <c r="H91" s="8" t="str">
        <f t="shared" si="1"/>
        <v>Feb</v>
      </c>
      <c r="I91" s="5">
        <v>5500</v>
      </c>
      <c r="J91" s="5">
        <v>5100</v>
      </c>
      <c r="K91" s="5">
        <f>student_data[[#This Row],[Total Fee]]-student_data[[#This Row],[Deposit Fee]]</f>
        <v>400</v>
      </c>
      <c r="L91" s="5" t="str">
        <f>IF(student_data[[#This Row],[Outstanding Fee]]=0,"Paid",IF(student_data[[#This Row],[Deposit Fee]]=0,"Unpaid","Partially Paid"))</f>
        <v>Partially Paid</v>
      </c>
      <c r="M91" s="5" t="s">
        <v>10</v>
      </c>
      <c r="N91"/>
      <c r="O91"/>
      <c r="P91"/>
      <c r="Q91"/>
      <c r="R91"/>
      <c r="S91"/>
      <c r="T91"/>
      <c r="U91"/>
      <c r="V91"/>
      <c r="W91"/>
    </row>
    <row r="92" spans="1:23" ht="15.4">
      <c r="A92" s="5">
        <v>835</v>
      </c>
      <c r="B92" s="5">
        <v>18835</v>
      </c>
      <c r="C92" s="5" t="s">
        <v>918</v>
      </c>
      <c r="D92" s="5" t="s">
        <v>1276</v>
      </c>
      <c r="E92" s="5" t="s">
        <v>9</v>
      </c>
      <c r="F92" s="5" t="s">
        <v>1361</v>
      </c>
      <c r="G92" s="8">
        <v>45327</v>
      </c>
      <c r="H92" s="8" t="str">
        <f t="shared" si="1"/>
        <v>Feb</v>
      </c>
      <c r="I92" s="5">
        <v>5500</v>
      </c>
      <c r="J92" s="5">
        <v>2800</v>
      </c>
      <c r="K92" s="5">
        <f>student_data[[#This Row],[Total Fee]]-student_data[[#This Row],[Deposit Fee]]</f>
        <v>2700</v>
      </c>
      <c r="L92" s="5" t="str">
        <f>IF(student_data[[#This Row],[Outstanding Fee]]=0,"Paid",IF(student_data[[#This Row],[Deposit Fee]]=0,"Unpaid","Partially Paid"))</f>
        <v>Partially Paid</v>
      </c>
      <c r="M92" s="5" t="s">
        <v>13</v>
      </c>
      <c r="N92"/>
      <c r="O92"/>
      <c r="P92"/>
      <c r="Q92"/>
      <c r="R92"/>
      <c r="S92"/>
      <c r="T92"/>
      <c r="U92"/>
      <c r="V92"/>
      <c r="W92"/>
    </row>
    <row r="93" spans="1:23" ht="15.4">
      <c r="A93" s="5">
        <v>836</v>
      </c>
      <c r="B93" s="5">
        <v>18836</v>
      </c>
      <c r="C93" s="5" t="s">
        <v>914</v>
      </c>
      <c r="D93" s="5" t="s">
        <v>1116</v>
      </c>
      <c r="E93" s="5" t="s">
        <v>9</v>
      </c>
      <c r="F93" s="5" t="s">
        <v>1361</v>
      </c>
      <c r="G93" s="8">
        <v>45327</v>
      </c>
      <c r="H93" s="8" t="str">
        <f t="shared" si="1"/>
        <v>Feb</v>
      </c>
      <c r="I93" s="5">
        <v>5500</v>
      </c>
      <c r="J93" s="5">
        <v>4900</v>
      </c>
      <c r="K93" s="5">
        <f>student_data[[#This Row],[Total Fee]]-student_data[[#This Row],[Deposit Fee]]</f>
        <v>600</v>
      </c>
      <c r="L93" s="5" t="str">
        <f>IF(student_data[[#This Row],[Outstanding Fee]]=0,"Paid",IF(student_data[[#This Row],[Deposit Fee]]=0,"Unpaid","Partially Paid"))</f>
        <v>Partially Paid</v>
      </c>
      <c r="M93" s="5" t="s">
        <v>38</v>
      </c>
      <c r="N93"/>
      <c r="O93"/>
      <c r="P93"/>
      <c r="Q93"/>
      <c r="R93"/>
      <c r="S93"/>
      <c r="T93"/>
      <c r="U93"/>
      <c r="V93"/>
      <c r="W93"/>
    </row>
    <row r="94" spans="1:23" ht="15.4">
      <c r="A94" s="5">
        <v>837</v>
      </c>
      <c r="B94" s="5">
        <v>18837</v>
      </c>
      <c r="C94" s="5" t="s">
        <v>277</v>
      </c>
      <c r="D94" s="5" t="s">
        <v>858</v>
      </c>
      <c r="E94" s="5" t="s">
        <v>9</v>
      </c>
      <c r="F94" s="5" t="s">
        <v>1361</v>
      </c>
      <c r="G94" s="8">
        <v>45327</v>
      </c>
      <c r="H94" s="8" t="str">
        <f t="shared" si="1"/>
        <v>Feb</v>
      </c>
      <c r="I94" s="5">
        <v>5500</v>
      </c>
      <c r="J94" s="5">
        <v>4900</v>
      </c>
      <c r="K94" s="5">
        <f>student_data[[#This Row],[Total Fee]]-student_data[[#This Row],[Deposit Fee]]</f>
        <v>600</v>
      </c>
      <c r="L94" s="5" t="str">
        <f>IF(student_data[[#This Row],[Outstanding Fee]]=0,"Paid",IF(student_data[[#This Row],[Deposit Fee]]=0,"Unpaid","Partially Paid"))</f>
        <v>Partially Paid</v>
      </c>
      <c r="M94" s="5" t="s">
        <v>78</v>
      </c>
      <c r="N94"/>
      <c r="O94"/>
      <c r="P94"/>
      <c r="Q94"/>
      <c r="R94"/>
      <c r="S94"/>
      <c r="T94"/>
      <c r="U94"/>
      <c r="V94"/>
      <c r="W94"/>
    </row>
    <row r="95" spans="1:23" ht="15.4">
      <c r="A95" s="5">
        <v>838</v>
      </c>
      <c r="B95" s="5">
        <v>18838</v>
      </c>
      <c r="C95" s="5" t="s">
        <v>189</v>
      </c>
      <c r="D95" s="5" t="s">
        <v>1260</v>
      </c>
      <c r="E95" s="5" t="s">
        <v>25</v>
      </c>
      <c r="F95" s="5" t="s">
        <v>1361</v>
      </c>
      <c r="G95" s="8">
        <v>45328</v>
      </c>
      <c r="H95" s="8" t="str">
        <f t="shared" si="1"/>
        <v>Feb</v>
      </c>
      <c r="I95" s="5">
        <v>5500</v>
      </c>
      <c r="J95" s="5">
        <v>5500</v>
      </c>
      <c r="K95" s="5">
        <f>student_data[[#This Row],[Total Fee]]-student_data[[#This Row],[Deposit Fee]]</f>
        <v>0</v>
      </c>
      <c r="L95" s="5" t="str">
        <f>IF(student_data[[#This Row],[Outstanding Fee]]=0,"Paid",IF(student_data[[#This Row],[Deposit Fee]]=0,"Unpaid","Partially Paid"))</f>
        <v>Paid</v>
      </c>
      <c r="M95" s="5" t="s">
        <v>16</v>
      </c>
      <c r="N95"/>
      <c r="O95"/>
      <c r="P95"/>
      <c r="Q95"/>
      <c r="R95"/>
      <c r="S95"/>
      <c r="T95"/>
      <c r="U95"/>
      <c r="V95"/>
      <c r="W95"/>
    </row>
    <row r="96" spans="1:23" ht="15.4">
      <c r="A96" s="5">
        <v>839</v>
      </c>
      <c r="B96" s="5">
        <v>18839</v>
      </c>
      <c r="C96" s="5" t="s">
        <v>916</v>
      </c>
      <c r="D96" s="5" t="s">
        <v>1277</v>
      </c>
      <c r="E96" s="5" t="s">
        <v>25</v>
      </c>
      <c r="F96" s="5" t="s">
        <v>1361</v>
      </c>
      <c r="G96" s="8">
        <v>45328</v>
      </c>
      <c r="H96" s="8" t="str">
        <f t="shared" si="1"/>
        <v>Feb</v>
      </c>
      <c r="I96" s="5">
        <v>5500</v>
      </c>
      <c r="J96" s="5">
        <v>4900</v>
      </c>
      <c r="K96" s="5">
        <f>student_data[[#This Row],[Total Fee]]-student_data[[#This Row],[Deposit Fee]]</f>
        <v>600</v>
      </c>
      <c r="L96" s="5" t="str">
        <f>IF(student_data[[#This Row],[Outstanding Fee]]=0,"Paid",IF(student_data[[#This Row],[Deposit Fee]]=0,"Unpaid","Partially Paid"))</f>
        <v>Partially Paid</v>
      </c>
      <c r="M96" s="5" t="s">
        <v>19</v>
      </c>
      <c r="N96"/>
      <c r="O96"/>
      <c r="P96"/>
      <c r="Q96"/>
      <c r="R96"/>
      <c r="S96"/>
      <c r="T96"/>
      <c r="U96"/>
      <c r="V96"/>
      <c r="W96"/>
    </row>
    <row r="97" spans="1:23" ht="15.4">
      <c r="A97" s="5">
        <v>840</v>
      </c>
      <c r="B97" s="5">
        <v>18840</v>
      </c>
      <c r="C97" s="5" t="s">
        <v>931</v>
      </c>
      <c r="D97" s="5" t="s">
        <v>1278</v>
      </c>
      <c r="E97" s="5" t="s">
        <v>25</v>
      </c>
      <c r="F97" s="5" t="s">
        <v>1361</v>
      </c>
      <c r="G97" s="8">
        <v>45328</v>
      </c>
      <c r="H97" s="8" t="str">
        <f t="shared" si="1"/>
        <v>Feb</v>
      </c>
      <c r="I97" s="5">
        <v>5500</v>
      </c>
      <c r="J97" s="5">
        <v>5500</v>
      </c>
      <c r="K97" s="5">
        <f>student_data[[#This Row],[Total Fee]]-student_data[[#This Row],[Deposit Fee]]</f>
        <v>0</v>
      </c>
      <c r="L97" s="5" t="str">
        <f>IF(student_data[[#This Row],[Outstanding Fee]]=0,"Paid",IF(student_data[[#This Row],[Deposit Fee]]=0,"Unpaid","Partially Paid"))</f>
        <v>Paid</v>
      </c>
      <c r="M97" s="5" t="s">
        <v>47</v>
      </c>
      <c r="N97"/>
      <c r="O97"/>
      <c r="P97"/>
      <c r="Q97"/>
      <c r="R97"/>
      <c r="S97"/>
      <c r="T97"/>
      <c r="U97"/>
      <c r="V97"/>
      <c r="W97"/>
    </row>
    <row r="98" spans="1:23" ht="15.4">
      <c r="A98" s="5">
        <v>841</v>
      </c>
      <c r="B98" s="5">
        <v>18841</v>
      </c>
      <c r="C98" s="5" t="s">
        <v>933</v>
      </c>
      <c r="D98" s="5" t="s">
        <v>1279</v>
      </c>
      <c r="E98" s="5" t="s">
        <v>9</v>
      </c>
      <c r="F98" s="5" t="s">
        <v>1361</v>
      </c>
      <c r="G98" s="8">
        <v>45328</v>
      </c>
      <c r="H98" s="8" t="str">
        <f t="shared" si="1"/>
        <v>Feb</v>
      </c>
      <c r="I98" s="5">
        <v>5500</v>
      </c>
      <c r="J98" s="5">
        <v>4900</v>
      </c>
      <c r="K98" s="5">
        <f>student_data[[#This Row],[Total Fee]]-student_data[[#This Row],[Deposit Fee]]</f>
        <v>600</v>
      </c>
      <c r="L98" s="5" t="str">
        <f>IF(student_data[[#This Row],[Outstanding Fee]]=0,"Paid",IF(student_data[[#This Row],[Deposit Fee]]=0,"Unpaid","Partially Paid"))</f>
        <v>Partially Paid</v>
      </c>
      <c r="M98" s="5" t="s">
        <v>75</v>
      </c>
      <c r="N98"/>
      <c r="O98"/>
      <c r="P98"/>
      <c r="Q98"/>
      <c r="R98"/>
      <c r="S98"/>
      <c r="T98"/>
      <c r="U98"/>
      <c r="V98"/>
      <c r="W98"/>
    </row>
    <row r="99" spans="1:23" ht="15.4">
      <c r="A99" s="5">
        <v>842</v>
      </c>
      <c r="B99" s="5">
        <v>18842</v>
      </c>
      <c r="C99" s="5" t="s">
        <v>920</v>
      </c>
      <c r="D99" s="5" t="s">
        <v>1280</v>
      </c>
      <c r="E99" s="5" t="s">
        <v>9</v>
      </c>
      <c r="F99" s="5" t="s">
        <v>1361</v>
      </c>
      <c r="G99" s="8">
        <v>45329</v>
      </c>
      <c r="H99" s="8" t="str">
        <f t="shared" si="1"/>
        <v>Feb</v>
      </c>
      <c r="I99" s="5">
        <v>5500</v>
      </c>
      <c r="J99" s="5">
        <v>5500</v>
      </c>
      <c r="K99" s="5">
        <f>student_data[[#This Row],[Total Fee]]-student_data[[#This Row],[Deposit Fee]]</f>
        <v>0</v>
      </c>
      <c r="L99" s="5" t="str">
        <f>IF(student_data[[#This Row],[Outstanding Fee]]=0,"Paid",IF(student_data[[#This Row],[Deposit Fee]]=0,"Unpaid","Partially Paid"))</f>
        <v>Paid</v>
      </c>
      <c r="M99" s="5" t="s">
        <v>89</v>
      </c>
      <c r="N99"/>
      <c r="O99"/>
      <c r="P99"/>
      <c r="Q99"/>
      <c r="R99"/>
      <c r="S99"/>
      <c r="T99"/>
      <c r="U99"/>
      <c r="V99"/>
      <c r="W99"/>
    </row>
    <row r="100" spans="1:23" ht="15.4">
      <c r="A100" s="5">
        <v>843</v>
      </c>
      <c r="B100" s="5">
        <v>18843</v>
      </c>
      <c r="C100" s="5" t="s">
        <v>924</v>
      </c>
      <c r="D100" s="5" t="s">
        <v>1281</v>
      </c>
      <c r="E100" s="5" t="s">
        <v>9</v>
      </c>
      <c r="F100" s="5" t="s">
        <v>1361</v>
      </c>
      <c r="G100" s="8">
        <v>45329</v>
      </c>
      <c r="H100" s="8" t="str">
        <f t="shared" si="1"/>
        <v>Feb</v>
      </c>
      <c r="I100" s="5">
        <v>5500</v>
      </c>
      <c r="J100" s="5">
        <v>5500</v>
      </c>
      <c r="K100" s="5">
        <f>student_data[[#This Row],[Total Fee]]-student_data[[#This Row],[Deposit Fee]]</f>
        <v>0</v>
      </c>
      <c r="L100" s="5" t="str">
        <f>IF(student_data[[#This Row],[Outstanding Fee]]=0,"Paid",IF(student_data[[#This Row],[Deposit Fee]]=0,"Unpaid","Partially Paid"))</f>
        <v>Paid</v>
      </c>
      <c r="M100" s="5" t="s">
        <v>29</v>
      </c>
      <c r="N100"/>
      <c r="O100"/>
      <c r="P100"/>
      <c r="Q100"/>
      <c r="R100"/>
      <c r="S100"/>
      <c r="T100"/>
      <c r="U100"/>
      <c r="V100"/>
      <c r="W100"/>
    </row>
    <row r="101" spans="1:23" ht="15.4">
      <c r="A101" s="5">
        <v>662</v>
      </c>
      <c r="B101" s="5">
        <v>18662</v>
      </c>
      <c r="C101" s="5" t="s">
        <v>938</v>
      </c>
      <c r="D101" s="5" t="s">
        <v>1036</v>
      </c>
      <c r="E101" s="5" t="s">
        <v>9</v>
      </c>
      <c r="F101" s="5" t="s">
        <v>1361</v>
      </c>
      <c r="G101" s="8">
        <v>45330</v>
      </c>
      <c r="H101" s="8" t="str">
        <f t="shared" si="1"/>
        <v>Feb</v>
      </c>
      <c r="I101" s="5">
        <v>5500</v>
      </c>
      <c r="J101" s="5">
        <v>5100</v>
      </c>
      <c r="K101" s="5">
        <f>student_data[[#This Row],[Total Fee]]-student_data[[#This Row],[Deposit Fee]]</f>
        <v>400</v>
      </c>
      <c r="L101" s="5" t="str">
        <f>IF(student_data[[#This Row],[Outstanding Fee]]=0,"Paid",IF(student_data[[#This Row],[Deposit Fee]]=0,"Unpaid","Partially Paid"))</f>
        <v>Partially Paid</v>
      </c>
      <c r="M101" s="5" t="s">
        <v>10</v>
      </c>
      <c r="N101"/>
      <c r="O101"/>
      <c r="P101"/>
      <c r="Q101"/>
      <c r="R101"/>
      <c r="S101"/>
      <c r="T101"/>
      <c r="U101"/>
      <c r="V101"/>
      <c r="W101"/>
    </row>
    <row r="102" spans="1:23" ht="15.4">
      <c r="A102" s="5">
        <v>844</v>
      </c>
      <c r="B102" s="5">
        <v>18844</v>
      </c>
      <c r="C102" s="5" t="s">
        <v>928</v>
      </c>
      <c r="D102" s="5" t="s">
        <v>71</v>
      </c>
      <c r="E102" s="5" t="s">
        <v>9</v>
      </c>
      <c r="F102" s="5" t="s">
        <v>1361</v>
      </c>
      <c r="G102" s="8">
        <v>45330</v>
      </c>
      <c r="H102" s="8" t="str">
        <f t="shared" si="1"/>
        <v>Feb</v>
      </c>
      <c r="I102" s="5">
        <v>5500</v>
      </c>
      <c r="J102" s="5">
        <v>5500</v>
      </c>
      <c r="K102" s="5">
        <f>student_data[[#This Row],[Total Fee]]-student_data[[#This Row],[Deposit Fee]]</f>
        <v>0</v>
      </c>
      <c r="L102" s="5" t="str">
        <f>IF(student_data[[#This Row],[Outstanding Fee]]=0,"Paid",IF(student_data[[#This Row],[Deposit Fee]]=0,"Unpaid","Partially Paid"))</f>
        <v>Paid</v>
      </c>
      <c r="M102" s="5" t="s">
        <v>75</v>
      </c>
      <c r="N102"/>
      <c r="O102"/>
      <c r="P102"/>
      <c r="Q102"/>
      <c r="R102"/>
      <c r="S102"/>
      <c r="T102"/>
      <c r="U102"/>
      <c r="V102"/>
      <c r="W102"/>
    </row>
    <row r="103" spans="1:23" ht="15.4">
      <c r="A103" s="5">
        <v>878</v>
      </c>
      <c r="B103" s="5">
        <v>18878</v>
      </c>
      <c r="C103" s="5" t="s">
        <v>620</v>
      </c>
      <c r="D103" s="5" t="s">
        <v>1312</v>
      </c>
      <c r="E103" s="5" t="s">
        <v>25</v>
      </c>
      <c r="F103" s="5" t="s">
        <v>1361</v>
      </c>
      <c r="G103" s="8">
        <v>45330</v>
      </c>
      <c r="H103" s="8" t="str">
        <f t="shared" si="1"/>
        <v>Feb</v>
      </c>
      <c r="I103" s="5">
        <v>5500</v>
      </c>
      <c r="J103" s="5">
        <v>5100</v>
      </c>
      <c r="K103" s="5">
        <f>student_data[[#This Row],[Total Fee]]-student_data[[#This Row],[Deposit Fee]]</f>
        <v>400</v>
      </c>
      <c r="L103" s="5" t="str">
        <f>IF(student_data[[#This Row],[Outstanding Fee]]=0,"Paid",IF(student_data[[#This Row],[Deposit Fee]]=0,"Unpaid","Partially Paid"))</f>
        <v>Partially Paid</v>
      </c>
      <c r="M103" s="5" t="s">
        <v>75</v>
      </c>
      <c r="N103"/>
      <c r="O103"/>
      <c r="P103"/>
      <c r="Q103"/>
      <c r="R103"/>
      <c r="S103"/>
      <c r="T103"/>
      <c r="U103"/>
      <c r="V103"/>
      <c r="W103"/>
    </row>
    <row r="104" spans="1:23" ht="15.4">
      <c r="A104" s="5">
        <v>879</v>
      </c>
      <c r="B104" s="5">
        <v>18879</v>
      </c>
      <c r="C104" s="5" t="s">
        <v>940</v>
      </c>
      <c r="D104" s="5" t="s">
        <v>64</v>
      </c>
      <c r="E104" s="5" t="s">
        <v>25</v>
      </c>
      <c r="F104" s="5" t="s">
        <v>1361</v>
      </c>
      <c r="G104" s="8">
        <v>45331</v>
      </c>
      <c r="H104" s="8" t="str">
        <f t="shared" si="1"/>
        <v>Feb</v>
      </c>
      <c r="I104" s="5">
        <v>5500</v>
      </c>
      <c r="J104" s="5">
        <v>4900</v>
      </c>
      <c r="K104" s="5">
        <f>student_data[[#This Row],[Total Fee]]-student_data[[#This Row],[Deposit Fee]]</f>
        <v>600</v>
      </c>
      <c r="L104" s="5" t="str">
        <f>IF(student_data[[#This Row],[Outstanding Fee]]=0,"Paid",IF(student_data[[#This Row],[Deposit Fee]]=0,"Unpaid","Partially Paid"))</f>
        <v>Partially Paid</v>
      </c>
      <c r="M104" s="5" t="s">
        <v>19</v>
      </c>
      <c r="N104"/>
      <c r="O104"/>
      <c r="P104"/>
      <c r="Q104"/>
      <c r="R104"/>
      <c r="S104"/>
      <c r="T104"/>
      <c r="U104"/>
      <c r="V104"/>
      <c r="W104"/>
    </row>
    <row r="105" spans="1:23" ht="15.4">
      <c r="A105" s="5">
        <v>880</v>
      </c>
      <c r="B105" s="5">
        <v>18880</v>
      </c>
      <c r="C105" s="5" t="s">
        <v>942</v>
      </c>
      <c r="D105" s="5" t="s">
        <v>1313</v>
      </c>
      <c r="E105" s="5" t="s">
        <v>9</v>
      </c>
      <c r="F105" s="5" t="s">
        <v>1361</v>
      </c>
      <c r="G105" s="8">
        <v>45331</v>
      </c>
      <c r="H105" s="8" t="str">
        <f t="shared" si="1"/>
        <v>Feb</v>
      </c>
      <c r="I105" s="5">
        <v>5500</v>
      </c>
      <c r="J105" s="5">
        <v>2500</v>
      </c>
      <c r="K105" s="5">
        <f>student_data[[#This Row],[Total Fee]]-student_data[[#This Row],[Deposit Fee]]</f>
        <v>3000</v>
      </c>
      <c r="L105" s="5" t="str">
        <f>IF(student_data[[#This Row],[Outstanding Fee]]=0,"Paid",IF(student_data[[#This Row],[Deposit Fee]]=0,"Unpaid","Partially Paid"))</f>
        <v>Partially Paid</v>
      </c>
      <c r="M105" s="5" t="s">
        <v>47</v>
      </c>
      <c r="N105"/>
      <c r="O105"/>
      <c r="P105"/>
      <c r="Q105"/>
      <c r="R105"/>
      <c r="S105"/>
      <c r="T105"/>
      <c r="U105"/>
      <c r="V105"/>
      <c r="W105"/>
    </row>
    <row r="106" spans="1:23" ht="15.4">
      <c r="A106" s="5">
        <v>881</v>
      </c>
      <c r="B106" s="5">
        <v>18881</v>
      </c>
      <c r="C106" s="5" t="s">
        <v>937</v>
      </c>
      <c r="D106" s="5" t="s">
        <v>1314</v>
      </c>
      <c r="E106" s="5" t="s">
        <v>25</v>
      </c>
      <c r="F106" s="5" t="s">
        <v>1361</v>
      </c>
      <c r="G106" s="8">
        <v>45331</v>
      </c>
      <c r="H106" s="8" t="str">
        <f t="shared" si="1"/>
        <v>Feb</v>
      </c>
      <c r="I106" s="5">
        <v>5500</v>
      </c>
      <c r="J106" s="5">
        <v>4900</v>
      </c>
      <c r="K106" s="5">
        <f>student_data[[#This Row],[Total Fee]]-student_data[[#This Row],[Deposit Fee]]</f>
        <v>600</v>
      </c>
      <c r="L106" s="5" t="str">
        <f>IF(student_data[[#This Row],[Outstanding Fee]]=0,"Paid",IF(student_data[[#This Row],[Deposit Fee]]=0,"Unpaid","Partially Paid"))</f>
        <v>Partially Paid</v>
      </c>
      <c r="M106" s="5" t="s">
        <v>47</v>
      </c>
      <c r="N106"/>
      <c r="O106"/>
      <c r="P106"/>
      <c r="Q106"/>
      <c r="R106"/>
      <c r="S106"/>
      <c r="T106"/>
      <c r="U106"/>
      <c r="V106"/>
      <c r="W106"/>
    </row>
    <row r="107" spans="1:23" ht="15.4">
      <c r="A107" s="5">
        <v>173</v>
      </c>
      <c r="B107" s="5">
        <v>18173</v>
      </c>
      <c r="C107" s="5" t="s">
        <v>307</v>
      </c>
      <c r="D107" s="5" t="s">
        <v>174</v>
      </c>
      <c r="E107" s="5" t="s">
        <v>9</v>
      </c>
      <c r="F107" s="5" t="s">
        <v>1362</v>
      </c>
      <c r="G107" s="8">
        <v>45332</v>
      </c>
      <c r="H107" s="8" t="str">
        <f t="shared" si="1"/>
        <v>Feb</v>
      </c>
      <c r="I107" s="5">
        <v>3200</v>
      </c>
      <c r="J107" s="5">
        <v>2600</v>
      </c>
      <c r="K107" s="5">
        <f>student_data[[#This Row],[Total Fee]]-student_data[[#This Row],[Deposit Fee]]</f>
        <v>600</v>
      </c>
      <c r="L107" s="5" t="str">
        <f>IF(student_data[[#This Row],[Outstanding Fee]]=0,"Paid",IF(student_data[[#This Row],[Deposit Fee]]=0,"Unpaid","Partially Paid"))</f>
        <v>Partially Paid</v>
      </c>
      <c r="M107" s="5" t="s">
        <v>19</v>
      </c>
      <c r="N107"/>
      <c r="O107"/>
      <c r="P107"/>
      <c r="Q107"/>
      <c r="R107"/>
      <c r="S107"/>
      <c r="T107"/>
      <c r="U107"/>
      <c r="V107"/>
      <c r="W107"/>
    </row>
    <row r="108" spans="1:23" ht="15.4">
      <c r="A108" s="5">
        <v>174</v>
      </c>
      <c r="B108" s="5">
        <v>18174</v>
      </c>
      <c r="C108" s="5" t="s">
        <v>308</v>
      </c>
      <c r="D108" s="5" t="s">
        <v>309</v>
      </c>
      <c r="E108" s="5" t="s">
        <v>9</v>
      </c>
      <c r="F108" s="5" t="s">
        <v>1362</v>
      </c>
      <c r="G108" s="8">
        <v>45332</v>
      </c>
      <c r="H108" s="8" t="str">
        <f t="shared" si="1"/>
        <v>Feb</v>
      </c>
      <c r="I108" s="5">
        <v>3200</v>
      </c>
      <c r="J108" s="5">
        <v>2600</v>
      </c>
      <c r="K108" s="5">
        <f>student_data[[#This Row],[Total Fee]]-student_data[[#This Row],[Deposit Fee]]</f>
        <v>600</v>
      </c>
      <c r="L108" s="5" t="str">
        <f>IF(student_data[[#This Row],[Outstanding Fee]]=0,"Paid",IF(student_data[[#This Row],[Deposit Fee]]=0,"Unpaid","Partially Paid"))</f>
        <v>Partially Paid</v>
      </c>
      <c r="M108" s="5" t="s">
        <v>47</v>
      </c>
      <c r="N108"/>
      <c r="O108"/>
      <c r="P108"/>
      <c r="Q108"/>
      <c r="R108"/>
      <c r="S108"/>
      <c r="T108"/>
      <c r="U108"/>
      <c r="V108"/>
      <c r="W108"/>
    </row>
    <row r="109" spans="1:23" ht="15.4">
      <c r="A109" s="5">
        <v>175</v>
      </c>
      <c r="B109" s="5">
        <v>18175</v>
      </c>
      <c r="C109" s="5" t="s">
        <v>310</v>
      </c>
      <c r="D109" s="5" t="s">
        <v>311</v>
      </c>
      <c r="E109" s="5" t="s">
        <v>9</v>
      </c>
      <c r="F109" s="5" t="s">
        <v>1362</v>
      </c>
      <c r="G109" s="8">
        <v>45332</v>
      </c>
      <c r="H109" s="8" t="str">
        <f t="shared" si="1"/>
        <v>Feb</v>
      </c>
      <c r="I109" s="5">
        <v>3200</v>
      </c>
      <c r="J109" s="5">
        <v>3200</v>
      </c>
      <c r="K109" s="5">
        <f>student_data[[#This Row],[Total Fee]]-student_data[[#This Row],[Deposit Fee]]</f>
        <v>0</v>
      </c>
      <c r="L109" s="5" t="str">
        <f>IF(student_data[[#This Row],[Outstanding Fee]]=0,"Paid",IF(student_data[[#This Row],[Deposit Fee]]=0,"Unpaid","Partially Paid"))</f>
        <v>Paid</v>
      </c>
      <c r="M109" s="5" t="s">
        <v>75</v>
      </c>
      <c r="N109"/>
      <c r="O109"/>
      <c r="P109"/>
      <c r="Q109"/>
      <c r="R109"/>
      <c r="S109"/>
      <c r="T109"/>
      <c r="U109"/>
      <c r="V109"/>
      <c r="W109"/>
    </row>
    <row r="110" spans="1:23" ht="15.4">
      <c r="A110" s="5">
        <v>29</v>
      </c>
      <c r="B110" s="5">
        <v>18029</v>
      </c>
      <c r="C110" s="5" t="s">
        <v>81</v>
      </c>
      <c r="D110" s="5" t="s">
        <v>82</v>
      </c>
      <c r="E110" s="5" t="s">
        <v>25</v>
      </c>
      <c r="F110" s="5" t="s">
        <v>1362</v>
      </c>
      <c r="G110" s="8">
        <v>45334</v>
      </c>
      <c r="H110" s="8" t="str">
        <f t="shared" si="1"/>
        <v>Feb</v>
      </c>
      <c r="I110" s="5">
        <v>3200</v>
      </c>
      <c r="J110" s="5">
        <v>3200</v>
      </c>
      <c r="K110" s="5">
        <f>student_data[[#This Row],[Total Fee]]-student_data[[#This Row],[Deposit Fee]]</f>
        <v>0</v>
      </c>
      <c r="L110" s="5" t="str">
        <f>IF(student_data[[#This Row],[Outstanding Fee]]=0,"Paid",IF(student_data[[#This Row],[Deposit Fee]]=0,"Unpaid","Partially Paid"))</f>
        <v>Paid</v>
      </c>
      <c r="M110" s="5" t="s">
        <v>66</v>
      </c>
      <c r="N110"/>
      <c r="O110"/>
      <c r="P110"/>
      <c r="Q110"/>
      <c r="R110"/>
      <c r="S110"/>
      <c r="T110"/>
      <c r="U110"/>
      <c r="V110"/>
      <c r="W110"/>
    </row>
    <row r="111" spans="1:23" ht="15.4">
      <c r="A111" s="5">
        <v>176</v>
      </c>
      <c r="B111" s="5">
        <v>18176</v>
      </c>
      <c r="C111" s="5" t="s">
        <v>312</v>
      </c>
      <c r="D111" s="5" t="s">
        <v>313</v>
      </c>
      <c r="E111" s="5" t="s">
        <v>9</v>
      </c>
      <c r="F111" s="5" t="s">
        <v>1362</v>
      </c>
      <c r="G111" s="8">
        <v>45334</v>
      </c>
      <c r="H111" s="8" t="str">
        <f t="shared" si="1"/>
        <v>Feb</v>
      </c>
      <c r="I111" s="5">
        <v>3200</v>
      </c>
      <c r="J111" s="5">
        <v>3200</v>
      </c>
      <c r="K111" s="5">
        <f>student_data[[#This Row],[Total Fee]]-student_data[[#This Row],[Deposit Fee]]</f>
        <v>0</v>
      </c>
      <c r="L111" s="5" t="str">
        <f>IF(student_data[[#This Row],[Outstanding Fee]]=0,"Paid",IF(student_data[[#This Row],[Deposit Fee]]=0,"Unpaid","Partially Paid"))</f>
        <v>Paid</v>
      </c>
      <c r="M111" s="5" t="s">
        <v>89</v>
      </c>
      <c r="N111"/>
      <c r="O111"/>
      <c r="P111"/>
      <c r="Q111"/>
      <c r="R111"/>
      <c r="S111"/>
      <c r="T111"/>
      <c r="U111"/>
      <c r="V111"/>
      <c r="W111"/>
    </row>
    <row r="112" spans="1:23" ht="15.4">
      <c r="A112" s="5">
        <v>177</v>
      </c>
      <c r="B112" s="5">
        <v>18177</v>
      </c>
      <c r="C112" s="5" t="s">
        <v>314</v>
      </c>
      <c r="D112" s="5" t="s">
        <v>315</v>
      </c>
      <c r="E112" s="5" t="s">
        <v>25</v>
      </c>
      <c r="F112" s="5" t="s">
        <v>1363</v>
      </c>
      <c r="G112" s="8">
        <v>45334</v>
      </c>
      <c r="H112" s="8" t="str">
        <f t="shared" si="1"/>
        <v>Feb</v>
      </c>
      <c r="I112" s="5">
        <v>7500</v>
      </c>
      <c r="J112" s="5">
        <v>7500</v>
      </c>
      <c r="K112" s="5">
        <f>student_data[[#This Row],[Total Fee]]-student_data[[#This Row],[Deposit Fee]]</f>
        <v>0</v>
      </c>
      <c r="L112" s="5" t="str">
        <f>IF(student_data[[#This Row],[Outstanding Fee]]=0,"Paid",IF(student_data[[#This Row],[Deposit Fee]]=0,"Unpaid","Partially Paid"))</f>
        <v>Paid</v>
      </c>
      <c r="M112" s="5" t="s">
        <v>10</v>
      </c>
      <c r="N112"/>
      <c r="O112"/>
      <c r="P112"/>
      <c r="Q112"/>
      <c r="R112"/>
      <c r="S112"/>
      <c r="T112"/>
      <c r="U112"/>
      <c r="V112"/>
      <c r="W112"/>
    </row>
    <row r="113" spans="1:23" ht="15.4">
      <c r="A113" s="5">
        <v>30</v>
      </c>
      <c r="B113" s="5">
        <v>18030</v>
      </c>
      <c r="C113" s="5" t="s">
        <v>83</v>
      </c>
      <c r="D113" s="5" t="s">
        <v>84</v>
      </c>
      <c r="E113" s="5" t="s">
        <v>9</v>
      </c>
      <c r="F113" s="5" t="s">
        <v>1362</v>
      </c>
      <c r="G113" s="8">
        <v>45335</v>
      </c>
      <c r="H113" s="8" t="str">
        <f t="shared" si="1"/>
        <v>Feb</v>
      </c>
      <c r="I113" s="5">
        <v>3200</v>
      </c>
      <c r="J113" s="5">
        <v>3200</v>
      </c>
      <c r="K113" s="5">
        <f>student_data[[#This Row],[Total Fee]]-student_data[[#This Row],[Deposit Fee]]</f>
        <v>0</v>
      </c>
      <c r="L113" s="5" t="str">
        <f>IF(student_data[[#This Row],[Outstanding Fee]]=0,"Paid",IF(student_data[[#This Row],[Deposit Fee]]=0,"Unpaid","Partially Paid"))</f>
        <v>Paid</v>
      </c>
      <c r="M113" s="5" t="s">
        <v>66</v>
      </c>
      <c r="N113"/>
      <c r="O113"/>
      <c r="P113"/>
      <c r="Q113"/>
      <c r="R113"/>
      <c r="S113"/>
      <c r="T113"/>
      <c r="U113"/>
      <c r="V113"/>
      <c r="W113"/>
    </row>
    <row r="114" spans="1:23" ht="15.4">
      <c r="A114" s="5">
        <v>31</v>
      </c>
      <c r="B114" s="5">
        <v>18031</v>
      </c>
      <c r="C114" s="5" t="s">
        <v>30</v>
      </c>
      <c r="D114" s="5" t="s">
        <v>85</v>
      </c>
      <c r="E114" s="5" t="s">
        <v>9</v>
      </c>
      <c r="F114" s="5" t="s">
        <v>1362</v>
      </c>
      <c r="G114" s="8">
        <v>45335</v>
      </c>
      <c r="H114" s="8" t="str">
        <f t="shared" si="1"/>
        <v>Feb</v>
      </c>
      <c r="I114" s="5">
        <v>3200</v>
      </c>
      <c r="J114" s="5">
        <v>2600</v>
      </c>
      <c r="K114" s="5">
        <f>student_data[[#This Row],[Total Fee]]-student_data[[#This Row],[Deposit Fee]]</f>
        <v>600</v>
      </c>
      <c r="L114" s="5" t="str">
        <f>IF(student_data[[#This Row],[Outstanding Fee]]=0,"Paid",IF(student_data[[#This Row],[Deposit Fee]]=0,"Unpaid","Partially Paid"))</f>
        <v>Partially Paid</v>
      </c>
      <c r="M114" s="5" t="s">
        <v>32</v>
      </c>
      <c r="N114"/>
      <c r="O114"/>
      <c r="P114"/>
      <c r="Q114"/>
      <c r="R114"/>
      <c r="S114"/>
      <c r="T114"/>
      <c r="U114"/>
      <c r="V114"/>
      <c r="W114"/>
    </row>
    <row r="115" spans="1:23" ht="15.4">
      <c r="A115" s="5">
        <v>32</v>
      </c>
      <c r="B115" s="5">
        <v>18032</v>
      </c>
      <c r="C115" s="5" t="s">
        <v>86</v>
      </c>
      <c r="D115" s="5" t="s">
        <v>87</v>
      </c>
      <c r="E115" s="5" t="s">
        <v>9</v>
      </c>
      <c r="F115" s="5" t="s">
        <v>1362</v>
      </c>
      <c r="G115" s="8">
        <v>45335</v>
      </c>
      <c r="H115" s="8" t="str">
        <f t="shared" si="1"/>
        <v>Feb</v>
      </c>
      <c r="I115" s="5">
        <v>3200</v>
      </c>
      <c r="J115" s="5">
        <v>2800</v>
      </c>
      <c r="K115" s="5">
        <f>student_data[[#This Row],[Total Fee]]-student_data[[#This Row],[Deposit Fee]]</f>
        <v>400</v>
      </c>
      <c r="L115" s="5" t="str">
        <f>IF(student_data[[#This Row],[Outstanding Fee]]=0,"Paid",IF(student_data[[#This Row],[Deposit Fee]]=0,"Unpaid","Partially Paid"))</f>
        <v>Partially Paid</v>
      </c>
      <c r="M115" s="5" t="s">
        <v>32</v>
      </c>
      <c r="N115"/>
      <c r="O115"/>
      <c r="P115"/>
      <c r="Q115"/>
      <c r="R115"/>
      <c r="S115"/>
      <c r="T115"/>
      <c r="U115"/>
      <c r="V115"/>
      <c r="W115"/>
    </row>
    <row r="116" spans="1:23" ht="15.4">
      <c r="A116" s="5">
        <v>33</v>
      </c>
      <c r="B116" s="5">
        <v>18033</v>
      </c>
      <c r="C116" s="5" t="s">
        <v>14</v>
      </c>
      <c r="D116" s="5" t="s">
        <v>88</v>
      </c>
      <c r="E116" s="5" t="s">
        <v>25</v>
      </c>
      <c r="F116" s="5" t="s">
        <v>1362</v>
      </c>
      <c r="G116" s="8">
        <v>45335</v>
      </c>
      <c r="H116" s="8" t="str">
        <f t="shared" si="1"/>
        <v>Feb</v>
      </c>
      <c r="I116" s="5">
        <v>3200</v>
      </c>
      <c r="J116" s="5">
        <v>3200</v>
      </c>
      <c r="K116" s="5">
        <f>student_data[[#This Row],[Total Fee]]-student_data[[#This Row],[Deposit Fee]]</f>
        <v>0</v>
      </c>
      <c r="L116" s="5" t="str">
        <f>IF(student_data[[#This Row],[Outstanding Fee]]=0,"Paid",IF(student_data[[#This Row],[Deposit Fee]]=0,"Unpaid","Partially Paid"))</f>
        <v>Paid</v>
      </c>
      <c r="M116" s="5" t="s">
        <v>89</v>
      </c>
      <c r="N116"/>
      <c r="O116"/>
      <c r="P116"/>
      <c r="Q116"/>
      <c r="R116"/>
      <c r="S116"/>
      <c r="T116"/>
      <c r="U116"/>
      <c r="V116"/>
      <c r="W116"/>
    </row>
    <row r="117" spans="1:23" ht="15.4">
      <c r="A117" s="5">
        <v>34</v>
      </c>
      <c r="B117" s="5">
        <v>18034</v>
      </c>
      <c r="C117" s="5" t="s">
        <v>20</v>
      </c>
      <c r="D117" s="5" t="s">
        <v>82</v>
      </c>
      <c r="E117" s="5" t="s">
        <v>9</v>
      </c>
      <c r="F117" s="5" t="s">
        <v>1362</v>
      </c>
      <c r="G117" s="8">
        <v>45335</v>
      </c>
      <c r="H117" s="8" t="str">
        <f t="shared" si="1"/>
        <v>Feb</v>
      </c>
      <c r="I117" s="5">
        <v>3200</v>
      </c>
      <c r="J117" s="5">
        <v>2600</v>
      </c>
      <c r="K117" s="5">
        <f>student_data[[#This Row],[Total Fee]]-student_data[[#This Row],[Deposit Fee]]</f>
        <v>600</v>
      </c>
      <c r="L117" s="5" t="str">
        <f>IF(student_data[[#This Row],[Outstanding Fee]]=0,"Paid",IF(student_data[[#This Row],[Deposit Fee]]=0,"Unpaid","Partially Paid"))</f>
        <v>Partially Paid</v>
      </c>
      <c r="M117" s="5" t="s">
        <v>19</v>
      </c>
      <c r="N117"/>
      <c r="O117"/>
      <c r="P117"/>
      <c r="Q117"/>
      <c r="R117"/>
      <c r="S117"/>
      <c r="T117"/>
      <c r="U117"/>
      <c r="V117"/>
      <c r="W117"/>
    </row>
    <row r="118" spans="1:23" ht="15.4">
      <c r="A118" s="5">
        <v>35</v>
      </c>
      <c r="B118" s="5">
        <v>18035</v>
      </c>
      <c r="C118" s="5" t="s">
        <v>90</v>
      </c>
      <c r="D118" s="5" t="s">
        <v>91</v>
      </c>
      <c r="E118" s="5" t="s">
        <v>9</v>
      </c>
      <c r="F118" s="5" t="s">
        <v>1362</v>
      </c>
      <c r="G118" s="8">
        <v>45335</v>
      </c>
      <c r="H118" s="8" t="str">
        <f t="shared" si="1"/>
        <v>Feb</v>
      </c>
      <c r="I118" s="5">
        <v>3200</v>
      </c>
      <c r="J118" s="5">
        <v>2800</v>
      </c>
      <c r="K118" s="5">
        <f>student_data[[#This Row],[Total Fee]]-student_data[[#This Row],[Deposit Fee]]</f>
        <v>400</v>
      </c>
      <c r="L118" s="5" t="str">
        <f>IF(student_data[[#This Row],[Outstanding Fee]]=0,"Paid",IF(student_data[[#This Row],[Deposit Fee]]=0,"Unpaid","Partially Paid"))</f>
        <v>Partially Paid</v>
      </c>
      <c r="M118" s="5" t="s">
        <v>47</v>
      </c>
      <c r="N118"/>
      <c r="O118"/>
      <c r="P118"/>
      <c r="Q118"/>
      <c r="R118"/>
      <c r="S118"/>
      <c r="T118"/>
      <c r="U118"/>
      <c r="V118"/>
      <c r="W118"/>
    </row>
    <row r="119" spans="1:23" ht="15.4">
      <c r="A119" s="5">
        <v>36</v>
      </c>
      <c r="B119" s="5">
        <v>18036</v>
      </c>
      <c r="C119" s="5" t="s">
        <v>92</v>
      </c>
      <c r="D119" s="5" t="s">
        <v>93</v>
      </c>
      <c r="E119" s="5" t="s">
        <v>25</v>
      </c>
      <c r="F119" s="5" t="s">
        <v>1362</v>
      </c>
      <c r="G119" s="8">
        <v>45336</v>
      </c>
      <c r="H119" s="8" t="str">
        <f t="shared" si="1"/>
        <v>Feb</v>
      </c>
      <c r="I119" s="5">
        <v>3200</v>
      </c>
      <c r="J119" s="5">
        <v>1000</v>
      </c>
      <c r="K119" s="5">
        <f>student_data[[#This Row],[Total Fee]]-student_data[[#This Row],[Deposit Fee]]</f>
        <v>2200</v>
      </c>
      <c r="L119" s="5" t="str">
        <f>IF(student_data[[#This Row],[Outstanding Fee]]=0,"Paid",IF(student_data[[#This Row],[Deposit Fee]]=0,"Unpaid","Partially Paid"))</f>
        <v>Partially Paid</v>
      </c>
      <c r="M119" s="5" t="s">
        <v>75</v>
      </c>
      <c r="N119"/>
      <c r="O119"/>
      <c r="P119"/>
      <c r="Q119"/>
      <c r="R119"/>
      <c r="S119"/>
      <c r="T119"/>
      <c r="U119"/>
      <c r="V119"/>
      <c r="W119"/>
    </row>
    <row r="120" spans="1:23" ht="15.4">
      <c r="A120" s="5">
        <v>37</v>
      </c>
      <c r="B120" s="5">
        <v>18037</v>
      </c>
      <c r="C120" s="5" t="s">
        <v>94</v>
      </c>
      <c r="D120" s="5" t="s">
        <v>95</v>
      </c>
      <c r="E120" s="5" t="s">
        <v>25</v>
      </c>
      <c r="F120" s="5" t="s">
        <v>1362</v>
      </c>
      <c r="G120" s="8">
        <v>45337</v>
      </c>
      <c r="H120" s="8" t="str">
        <f t="shared" si="1"/>
        <v>Feb</v>
      </c>
      <c r="I120" s="5">
        <v>3200</v>
      </c>
      <c r="J120" s="5">
        <v>3200</v>
      </c>
      <c r="K120" s="5">
        <f>student_data[[#This Row],[Total Fee]]-student_data[[#This Row],[Deposit Fee]]</f>
        <v>0</v>
      </c>
      <c r="L120" s="5" t="str">
        <f>IF(student_data[[#This Row],[Outstanding Fee]]=0,"Paid",IF(student_data[[#This Row],[Deposit Fee]]=0,"Unpaid","Partially Paid"))</f>
        <v>Paid</v>
      </c>
      <c r="M120" s="5" t="s">
        <v>89</v>
      </c>
      <c r="N120"/>
      <c r="O120"/>
      <c r="P120"/>
      <c r="Q120"/>
      <c r="R120"/>
      <c r="S120"/>
      <c r="T120"/>
      <c r="U120"/>
      <c r="V120"/>
      <c r="W120"/>
    </row>
    <row r="121" spans="1:23" ht="15.4">
      <c r="A121" s="5">
        <v>38</v>
      </c>
      <c r="B121" s="5">
        <v>18038</v>
      </c>
      <c r="C121" s="5" t="s">
        <v>96</v>
      </c>
      <c r="D121" s="5" t="s">
        <v>97</v>
      </c>
      <c r="E121" s="5" t="s">
        <v>25</v>
      </c>
      <c r="F121" s="5" t="s">
        <v>1362</v>
      </c>
      <c r="G121" s="8">
        <v>45337</v>
      </c>
      <c r="H121" s="8" t="str">
        <f t="shared" si="1"/>
        <v>Feb</v>
      </c>
      <c r="I121" s="5">
        <v>3200</v>
      </c>
      <c r="J121" s="5">
        <v>2600</v>
      </c>
      <c r="K121" s="5">
        <f>student_data[[#This Row],[Total Fee]]-student_data[[#This Row],[Deposit Fee]]</f>
        <v>600</v>
      </c>
      <c r="L121" s="5" t="str">
        <f>IF(student_data[[#This Row],[Outstanding Fee]]=0,"Paid",IF(student_data[[#This Row],[Deposit Fee]]=0,"Unpaid","Partially Paid"))</f>
        <v>Partially Paid</v>
      </c>
      <c r="M121" s="5" t="s">
        <v>29</v>
      </c>
      <c r="N121"/>
      <c r="O121"/>
      <c r="P121"/>
      <c r="Q121"/>
      <c r="R121"/>
      <c r="S121"/>
      <c r="T121"/>
      <c r="U121"/>
      <c r="V121"/>
      <c r="W121"/>
    </row>
    <row r="122" spans="1:23" ht="15.4">
      <c r="A122" s="5">
        <v>39</v>
      </c>
      <c r="B122" s="5">
        <v>18039</v>
      </c>
      <c r="C122" s="5" t="s">
        <v>98</v>
      </c>
      <c r="D122" s="5" t="s">
        <v>99</v>
      </c>
      <c r="E122" s="5" t="s">
        <v>9</v>
      </c>
      <c r="F122" s="5" t="s">
        <v>1362</v>
      </c>
      <c r="G122" s="8">
        <v>45338</v>
      </c>
      <c r="H122" s="8" t="str">
        <f t="shared" si="1"/>
        <v>Feb</v>
      </c>
      <c r="I122" s="5">
        <v>3200</v>
      </c>
      <c r="J122" s="5">
        <v>3200</v>
      </c>
      <c r="K122" s="5">
        <f>student_data[[#This Row],[Total Fee]]-student_data[[#This Row],[Deposit Fee]]</f>
        <v>0</v>
      </c>
      <c r="L122" s="5" t="str">
        <f>IF(student_data[[#This Row],[Outstanding Fee]]=0,"Paid",IF(student_data[[#This Row],[Deposit Fee]]=0,"Unpaid","Partially Paid"))</f>
        <v>Paid</v>
      </c>
      <c r="M122" s="5" t="s">
        <v>10</v>
      </c>
      <c r="N122"/>
      <c r="O122"/>
      <c r="P122"/>
      <c r="Q122"/>
      <c r="R122"/>
      <c r="S122"/>
      <c r="T122"/>
      <c r="U122"/>
      <c r="V122"/>
      <c r="W122"/>
    </row>
    <row r="123" spans="1:23" ht="15.4">
      <c r="A123" s="5">
        <v>40</v>
      </c>
      <c r="B123" s="5">
        <v>18040</v>
      </c>
      <c r="C123" s="5" t="s">
        <v>100</v>
      </c>
      <c r="D123" s="5" t="s">
        <v>101</v>
      </c>
      <c r="E123" s="5" t="s">
        <v>9</v>
      </c>
      <c r="F123" s="5" t="s">
        <v>1362</v>
      </c>
      <c r="G123" s="8">
        <v>45338</v>
      </c>
      <c r="H123" s="8" t="str">
        <f t="shared" si="1"/>
        <v>Feb</v>
      </c>
      <c r="I123" s="5">
        <v>3200</v>
      </c>
      <c r="J123" s="5">
        <v>3200</v>
      </c>
      <c r="K123" s="5">
        <f>student_data[[#This Row],[Total Fee]]-student_data[[#This Row],[Deposit Fee]]</f>
        <v>0</v>
      </c>
      <c r="L123" s="5" t="str">
        <f>IF(student_data[[#This Row],[Outstanding Fee]]=0,"Paid",IF(student_data[[#This Row],[Deposit Fee]]=0,"Unpaid","Partially Paid"))</f>
        <v>Paid</v>
      </c>
      <c r="M123" s="5" t="s">
        <v>13</v>
      </c>
      <c r="N123"/>
      <c r="O123"/>
      <c r="P123"/>
      <c r="Q123"/>
      <c r="R123"/>
      <c r="S123"/>
      <c r="T123"/>
      <c r="U123"/>
      <c r="V123"/>
      <c r="W123"/>
    </row>
    <row r="124" spans="1:23" ht="15.4">
      <c r="A124" s="5">
        <v>41</v>
      </c>
      <c r="B124" s="5">
        <v>18041</v>
      </c>
      <c r="C124" s="5" t="s">
        <v>102</v>
      </c>
      <c r="D124" s="5" t="s">
        <v>103</v>
      </c>
      <c r="E124" s="5" t="s">
        <v>9</v>
      </c>
      <c r="F124" s="5" t="s">
        <v>1362</v>
      </c>
      <c r="G124" s="8">
        <v>45338</v>
      </c>
      <c r="H124" s="8" t="str">
        <f t="shared" si="1"/>
        <v>Feb</v>
      </c>
      <c r="I124" s="5">
        <v>3200</v>
      </c>
      <c r="J124" s="5">
        <v>2600</v>
      </c>
      <c r="K124" s="5">
        <f>student_data[[#This Row],[Total Fee]]-student_data[[#This Row],[Deposit Fee]]</f>
        <v>600</v>
      </c>
      <c r="L124" s="5" t="str">
        <f>IF(student_data[[#This Row],[Outstanding Fee]]=0,"Paid",IF(student_data[[#This Row],[Deposit Fee]]=0,"Unpaid","Partially Paid"))</f>
        <v>Partially Paid</v>
      </c>
      <c r="M124" s="5" t="s">
        <v>38</v>
      </c>
      <c r="N124"/>
      <c r="O124"/>
      <c r="P124"/>
      <c r="Q124"/>
      <c r="R124"/>
      <c r="S124"/>
      <c r="T124"/>
      <c r="U124"/>
      <c r="V124"/>
      <c r="W124"/>
    </row>
    <row r="125" spans="1:23" ht="15.4">
      <c r="A125" s="5">
        <v>42</v>
      </c>
      <c r="B125" s="5">
        <v>18042</v>
      </c>
      <c r="C125" s="5" t="s">
        <v>104</v>
      </c>
      <c r="D125" s="5" t="s">
        <v>105</v>
      </c>
      <c r="E125" s="5" t="s">
        <v>9</v>
      </c>
      <c r="F125" s="5" t="s">
        <v>1362</v>
      </c>
      <c r="G125" s="8">
        <v>45339</v>
      </c>
      <c r="H125" s="8" t="str">
        <f t="shared" si="1"/>
        <v>Feb</v>
      </c>
      <c r="I125" s="5">
        <v>3200</v>
      </c>
      <c r="J125" s="5">
        <v>3200</v>
      </c>
      <c r="K125" s="5">
        <f>student_data[[#This Row],[Total Fee]]-student_data[[#This Row],[Deposit Fee]]</f>
        <v>0</v>
      </c>
      <c r="L125" s="5" t="str">
        <f>IF(student_data[[#This Row],[Outstanding Fee]]=0,"Paid",IF(student_data[[#This Row],[Deposit Fee]]=0,"Unpaid","Partially Paid"))</f>
        <v>Paid</v>
      </c>
      <c r="M125" s="5" t="s">
        <v>78</v>
      </c>
      <c r="N125"/>
      <c r="O125"/>
      <c r="P125"/>
      <c r="Q125"/>
      <c r="R125"/>
      <c r="S125"/>
      <c r="T125"/>
      <c r="U125"/>
      <c r="V125"/>
      <c r="W125"/>
    </row>
    <row r="126" spans="1:23" ht="15.4">
      <c r="A126" s="5">
        <v>43</v>
      </c>
      <c r="B126" s="5">
        <v>18043</v>
      </c>
      <c r="C126" s="5" t="s">
        <v>106</v>
      </c>
      <c r="D126" s="5" t="s">
        <v>107</v>
      </c>
      <c r="E126" s="5" t="s">
        <v>9</v>
      </c>
      <c r="F126" s="5" t="s">
        <v>1362</v>
      </c>
      <c r="G126" s="8">
        <v>45339</v>
      </c>
      <c r="H126" s="8" t="str">
        <f t="shared" si="1"/>
        <v>Feb</v>
      </c>
      <c r="I126" s="5">
        <v>3200</v>
      </c>
      <c r="J126" s="5">
        <v>2800</v>
      </c>
      <c r="K126" s="5">
        <f>student_data[[#This Row],[Total Fee]]-student_data[[#This Row],[Deposit Fee]]</f>
        <v>400</v>
      </c>
      <c r="L126" s="5" t="str">
        <f>IF(student_data[[#This Row],[Outstanding Fee]]=0,"Paid",IF(student_data[[#This Row],[Deposit Fee]]=0,"Unpaid","Partially Paid"))</f>
        <v>Partially Paid</v>
      </c>
      <c r="M126" s="5" t="s">
        <v>16</v>
      </c>
      <c r="N126"/>
      <c r="O126"/>
      <c r="P126"/>
      <c r="Q126"/>
      <c r="R126"/>
      <c r="S126"/>
      <c r="T126"/>
      <c r="U126"/>
      <c r="V126"/>
      <c r="W126"/>
    </row>
    <row r="127" spans="1:23" ht="15.4">
      <c r="A127" s="5">
        <v>753</v>
      </c>
      <c r="B127" s="5">
        <v>18753</v>
      </c>
      <c r="C127" s="5" t="s">
        <v>1165</v>
      </c>
      <c r="D127" s="5" t="s">
        <v>1166</v>
      </c>
      <c r="E127" s="5" t="s">
        <v>25</v>
      </c>
      <c r="F127" s="5" t="s">
        <v>1362</v>
      </c>
      <c r="G127" s="8">
        <v>45339</v>
      </c>
      <c r="H127" s="8" t="str">
        <f t="shared" si="1"/>
        <v>Feb</v>
      </c>
      <c r="I127" s="5">
        <v>3200</v>
      </c>
      <c r="J127" s="5">
        <v>2800</v>
      </c>
      <c r="K127" s="5">
        <f>student_data[[#This Row],[Total Fee]]-student_data[[#This Row],[Deposit Fee]]</f>
        <v>400</v>
      </c>
      <c r="L127" s="5" t="str">
        <f>IF(student_data[[#This Row],[Outstanding Fee]]=0,"Paid",IF(student_data[[#This Row],[Deposit Fee]]=0,"Unpaid","Partially Paid"))</f>
        <v>Partially Paid</v>
      </c>
      <c r="M127" s="5" t="s">
        <v>75</v>
      </c>
      <c r="N127"/>
      <c r="O127"/>
      <c r="P127"/>
      <c r="Q127"/>
      <c r="R127"/>
      <c r="S127"/>
      <c r="T127"/>
      <c r="U127"/>
      <c r="V127"/>
      <c r="W127"/>
    </row>
    <row r="128" spans="1:23" ht="15.4">
      <c r="A128" s="5">
        <v>754</v>
      </c>
      <c r="B128" s="5">
        <v>18754</v>
      </c>
      <c r="C128" s="5" t="s">
        <v>1167</v>
      </c>
      <c r="D128" s="5" t="s">
        <v>1168</v>
      </c>
      <c r="E128" s="5" t="s">
        <v>25</v>
      </c>
      <c r="F128" s="5" t="s">
        <v>1362</v>
      </c>
      <c r="G128" s="8">
        <v>45341</v>
      </c>
      <c r="H128" s="8" t="str">
        <f t="shared" si="1"/>
        <v>Feb</v>
      </c>
      <c r="I128" s="5">
        <v>3200</v>
      </c>
      <c r="J128" s="5">
        <v>2600</v>
      </c>
      <c r="K128" s="5">
        <f>student_data[[#This Row],[Total Fee]]-student_data[[#This Row],[Deposit Fee]]</f>
        <v>600</v>
      </c>
      <c r="L128" s="5" t="str">
        <f>IF(student_data[[#This Row],[Outstanding Fee]]=0,"Paid",IF(student_data[[#This Row],[Deposit Fee]]=0,"Unpaid","Partially Paid"))</f>
        <v>Partially Paid</v>
      </c>
      <c r="M128" s="5" t="s">
        <v>78</v>
      </c>
      <c r="N128"/>
      <c r="O128"/>
      <c r="P128"/>
      <c r="Q128"/>
      <c r="R128"/>
      <c r="S128"/>
      <c r="T128"/>
      <c r="U128"/>
      <c r="V128"/>
      <c r="W128"/>
    </row>
    <row r="129" spans="1:23" ht="15.4">
      <c r="A129" s="5">
        <v>755</v>
      </c>
      <c r="B129" s="5">
        <v>18755</v>
      </c>
      <c r="C129" s="5" t="s">
        <v>98</v>
      </c>
      <c r="D129" s="5" t="s">
        <v>1169</v>
      </c>
      <c r="E129" s="5" t="s">
        <v>25</v>
      </c>
      <c r="F129" s="5" t="s">
        <v>1362</v>
      </c>
      <c r="G129" s="8">
        <v>45341</v>
      </c>
      <c r="H129" s="8" t="str">
        <f t="shared" si="1"/>
        <v>Feb</v>
      </c>
      <c r="I129" s="5">
        <v>3200</v>
      </c>
      <c r="J129" s="5">
        <v>2600</v>
      </c>
      <c r="K129" s="5">
        <f>student_data[[#This Row],[Total Fee]]-student_data[[#This Row],[Deposit Fee]]</f>
        <v>600</v>
      </c>
      <c r="L129" s="5" t="str">
        <f>IF(student_data[[#This Row],[Outstanding Fee]]=0,"Paid",IF(student_data[[#This Row],[Deposit Fee]]=0,"Unpaid","Partially Paid"))</f>
        <v>Partially Paid</v>
      </c>
      <c r="M129" s="5" t="s">
        <v>16</v>
      </c>
      <c r="N129"/>
      <c r="O129"/>
      <c r="P129"/>
      <c r="Q129"/>
      <c r="R129"/>
      <c r="S129"/>
      <c r="T129"/>
      <c r="U129"/>
      <c r="V129"/>
      <c r="W129"/>
    </row>
    <row r="130" spans="1:23" ht="15.4">
      <c r="A130" s="5">
        <v>756</v>
      </c>
      <c r="B130" s="5">
        <v>18756</v>
      </c>
      <c r="C130" s="5" t="s">
        <v>1170</v>
      </c>
      <c r="D130" s="5" t="s">
        <v>1171</v>
      </c>
      <c r="E130" s="5" t="s">
        <v>9</v>
      </c>
      <c r="F130" s="5" t="s">
        <v>1362</v>
      </c>
      <c r="G130" s="8">
        <v>45341</v>
      </c>
      <c r="H130" s="8" t="str">
        <f t="shared" ref="H130:H193" si="2">TEXT(G130,"mmm")</f>
        <v>Feb</v>
      </c>
      <c r="I130" s="5">
        <v>3200</v>
      </c>
      <c r="J130" s="5">
        <v>3200</v>
      </c>
      <c r="K130" s="5">
        <f>student_data[[#This Row],[Total Fee]]-student_data[[#This Row],[Deposit Fee]]</f>
        <v>0</v>
      </c>
      <c r="L130" s="5" t="str">
        <f>IF(student_data[[#This Row],[Outstanding Fee]]=0,"Paid",IF(student_data[[#This Row],[Deposit Fee]]=0,"Unpaid","Partially Paid"))</f>
        <v>Paid</v>
      </c>
      <c r="M130" s="5" t="s">
        <v>66</v>
      </c>
      <c r="N130"/>
      <c r="O130"/>
      <c r="P130"/>
      <c r="Q130"/>
      <c r="R130"/>
      <c r="S130"/>
      <c r="T130"/>
      <c r="U130"/>
      <c r="V130"/>
      <c r="W130"/>
    </row>
    <row r="131" spans="1:23" ht="15.4">
      <c r="A131" s="5">
        <v>757</v>
      </c>
      <c r="B131" s="5">
        <v>18757</v>
      </c>
      <c r="C131" s="5" t="s">
        <v>1172</v>
      </c>
      <c r="D131" s="5" t="s">
        <v>196</v>
      </c>
      <c r="E131" s="5" t="s">
        <v>9</v>
      </c>
      <c r="F131" s="5" t="s">
        <v>1362</v>
      </c>
      <c r="G131" s="8">
        <v>45341</v>
      </c>
      <c r="H131" s="8" t="str">
        <f t="shared" si="2"/>
        <v>Feb</v>
      </c>
      <c r="I131" s="5">
        <v>3200</v>
      </c>
      <c r="J131" s="5">
        <v>3200</v>
      </c>
      <c r="K131" s="5">
        <f>student_data[[#This Row],[Total Fee]]-student_data[[#This Row],[Deposit Fee]]</f>
        <v>0</v>
      </c>
      <c r="L131" s="5" t="str">
        <f>IF(student_data[[#This Row],[Outstanding Fee]]=0,"Paid",IF(student_data[[#This Row],[Deposit Fee]]=0,"Unpaid","Partially Paid"))</f>
        <v>Paid</v>
      </c>
      <c r="M131" s="5" t="s">
        <v>66</v>
      </c>
      <c r="N131"/>
      <c r="O131"/>
      <c r="P131"/>
      <c r="Q131"/>
      <c r="R131"/>
      <c r="S131"/>
      <c r="T131"/>
      <c r="U131"/>
      <c r="V131"/>
      <c r="W131"/>
    </row>
    <row r="132" spans="1:23" ht="15.4">
      <c r="A132" s="5">
        <v>758</v>
      </c>
      <c r="B132" s="5">
        <v>18758</v>
      </c>
      <c r="C132" s="5" t="s">
        <v>1173</v>
      </c>
      <c r="D132" s="5" t="s">
        <v>1174</v>
      </c>
      <c r="E132" s="5" t="s">
        <v>9</v>
      </c>
      <c r="F132" s="5" t="s">
        <v>1362</v>
      </c>
      <c r="G132" s="8">
        <v>45342</v>
      </c>
      <c r="H132" s="8" t="str">
        <f t="shared" si="2"/>
        <v>Feb</v>
      </c>
      <c r="I132" s="5">
        <v>3200</v>
      </c>
      <c r="J132" s="5">
        <v>3200</v>
      </c>
      <c r="K132" s="5">
        <f>student_data[[#This Row],[Total Fee]]-student_data[[#This Row],[Deposit Fee]]</f>
        <v>0</v>
      </c>
      <c r="L132" s="5" t="str">
        <f>IF(student_data[[#This Row],[Outstanding Fee]]=0,"Paid",IF(student_data[[#This Row],[Deposit Fee]]=0,"Unpaid","Partially Paid"))</f>
        <v>Paid</v>
      </c>
      <c r="M132" s="5" t="s">
        <v>32</v>
      </c>
      <c r="N132"/>
      <c r="O132"/>
      <c r="P132"/>
      <c r="Q132"/>
      <c r="R132"/>
      <c r="S132"/>
      <c r="T132"/>
      <c r="U132"/>
      <c r="V132"/>
      <c r="W132"/>
    </row>
    <row r="133" spans="1:23" ht="15.4">
      <c r="A133" s="5">
        <v>794</v>
      </c>
      <c r="B133" s="5">
        <v>18794</v>
      </c>
      <c r="C133" s="5" t="s">
        <v>1223</v>
      </c>
      <c r="D133" s="5" t="s">
        <v>1224</v>
      </c>
      <c r="E133" s="5" t="s">
        <v>9</v>
      </c>
      <c r="F133" s="5" t="s">
        <v>1362</v>
      </c>
      <c r="G133" s="8">
        <v>45342</v>
      </c>
      <c r="H133" s="8" t="str">
        <f t="shared" si="2"/>
        <v>Feb</v>
      </c>
      <c r="I133" s="5">
        <v>3200</v>
      </c>
      <c r="J133" s="5">
        <v>2600</v>
      </c>
      <c r="K133" s="5">
        <f>student_data[[#This Row],[Total Fee]]-student_data[[#This Row],[Deposit Fee]]</f>
        <v>600</v>
      </c>
      <c r="L133" s="5" t="str">
        <f>IF(student_data[[#This Row],[Outstanding Fee]]=0,"Paid",IF(student_data[[#This Row],[Deposit Fee]]=0,"Unpaid","Partially Paid"))</f>
        <v>Partially Paid</v>
      </c>
      <c r="M133" s="5" t="s">
        <v>29</v>
      </c>
      <c r="N133"/>
      <c r="O133"/>
      <c r="P133"/>
      <c r="Q133"/>
      <c r="R133"/>
      <c r="S133"/>
      <c r="T133"/>
      <c r="U133"/>
      <c r="V133"/>
      <c r="W133"/>
    </row>
    <row r="134" spans="1:23" ht="15.4">
      <c r="A134" s="5">
        <v>795</v>
      </c>
      <c r="B134" s="5">
        <v>18795</v>
      </c>
      <c r="C134" s="5" t="s">
        <v>1225</v>
      </c>
      <c r="D134" s="5" t="s">
        <v>1226</v>
      </c>
      <c r="E134" s="5" t="s">
        <v>25</v>
      </c>
      <c r="F134" s="5" t="s">
        <v>1362</v>
      </c>
      <c r="G134" s="8">
        <v>45343</v>
      </c>
      <c r="H134" s="8" t="str">
        <f t="shared" si="2"/>
        <v>Feb</v>
      </c>
      <c r="I134" s="5">
        <v>3200</v>
      </c>
      <c r="J134" s="5">
        <v>3200</v>
      </c>
      <c r="K134" s="5">
        <f>student_data[[#This Row],[Total Fee]]-student_data[[#This Row],[Deposit Fee]]</f>
        <v>0</v>
      </c>
      <c r="L134" s="5" t="str">
        <f>IF(student_data[[#This Row],[Outstanding Fee]]=0,"Paid",IF(student_data[[#This Row],[Deposit Fee]]=0,"Unpaid","Partially Paid"))</f>
        <v>Paid</v>
      </c>
      <c r="M134" s="5" t="s">
        <v>10</v>
      </c>
      <c r="N134"/>
      <c r="O134"/>
      <c r="P134"/>
      <c r="Q134"/>
      <c r="R134"/>
      <c r="S134"/>
      <c r="T134"/>
      <c r="U134"/>
      <c r="V134"/>
      <c r="W134"/>
    </row>
    <row r="135" spans="1:23" ht="15.4">
      <c r="A135" s="5">
        <v>796</v>
      </c>
      <c r="B135" s="5">
        <v>18796</v>
      </c>
      <c r="C135" s="5" t="s">
        <v>1227</v>
      </c>
      <c r="D135" s="5" t="s">
        <v>1219</v>
      </c>
      <c r="E135" s="5" t="s">
        <v>25</v>
      </c>
      <c r="F135" s="5" t="s">
        <v>1362</v>
      </c>
      <c r="G135" s="8">
        <v>45343</v>
      </c>
      <c r="H135" s="8" t="str">
        <f t="shared" si="2"/>
        <v>Feb</v>
      </c>
      <c r="I135" s="5">
        <v>3200</v>
      </c>
      <c r="J135" s="5">
        <v>3200</v>
      </c>
      <c r="K135" s="5">
        <f>student_data[[#This Row],[Total Fee]]-student_data[[#This Row],[Deposit Fee]]</f>
        <v>0</v>
      </c>
      <c r="L135" s="5" t="str">
        <f>IF(student_data[[#This Row],[Outstanding Fee]]=0,"Paid",IF(student_data[[#This Row],[Deposit Fee]]=0,"Unpaid","Partially Paid"))</f>
        <v>Paid</v>
      </c>
      <c r="M135" s="5" t="s">
        <v>13</v>
      </c>
      <c r="N135"/>
      <c r="O135"/>
      <c r="P135"/>
      <c r="Q135"/>
      <c r="R135"/>
      <c r="S135"/>
      <c r="T135"/>
      <c r="U135"/>
      <c r="V135"/>
      <c r="W135"/>
    </row>
    <row r="136" spans="1:23" ht="15.4">
      <c r="A136" s="5">
        <v>797</v>
      </c>
      <c r="B136" s="5">
        <v>18797</v>
      </c>
      <c r="C136" s="5" t="s">
        <v>1228</v>
      </c>
      <c r="D136" s="5" t="s">
        <v>1229</v>
      </c>
      <c r="E136" s="5" t="s">
        <v>9</v>
      </c>
      <c r="F136" s="5" t="s">
        <v>1362</v>
      </c>
      <c r="G136" s="8">
        <v>45343</v>
      </c>
      <c r="H136" s="8" t="str">
        <f t="shared" si="2"/>
        <v>Feb</v>
      </c>
      <c r="I136" s="5">
        <v>3200</v>
      </c>
      <c r="J136" s="5">
        <v>2600</v>
      </c>
      <c r="K136" s="5">
        <f>student_data[[#This Row],[Total Fee]]-student_data[[#This Row],[Deposit Fee]]</f>
        <v>600</v>
      </c>
      <c r="L136" s="5" t="str">
        <f>IF(student_data[[#This Row],[Outstanding Fee]]=0,"Paid",IF(student_data[[#This Row],[Deposit Fee]]=0,"Unpaid","Partially Paid"))</f>
        <v>Partially Paid</v>
      </c>
      <c r="M136" s="5" t="s">
        <v>38</v>
      </c>
      <c r="N136"/>
      <c r="O136"/>
      <c r="P136"/>
      <c r="Q136"/>
      <c r="R136"/>
      <c r="S136"/>
      <c r="T136"/>
      <c r="U136"/>
      <c r="V136"/>
      <c r="W136"/>
    </row>
    <row r="137" spans="1:23" ht="15.4">
      <c r="A137" s="5">
        <v>798</v>
      </c>
      <c r="B137" s="5">
        <v>18798</v>
      </c>
      <c r="C137" s="5" t="s">
        <v>1230</v>
      </c>
      <c r="D137" s="5" t="s">
        <v>1231</v>
      </c>
      <c r="E137" s="5" t="s">
        <v>9</v>
      </c>
      <c r="F137" s="5" t="s">
        <v>1362</v>
      </c>
      <c r="G137" s="8">
        <v>45344</v>
      </c>
      <c r="H137" s="8" t="str">
        <f t="shared" si="2"/>
        <v>Feb</v>
      </c>
      <c r="I137" s="5">
        <v>3200</v>
      </c>
      <c r="J137" s="5">
        <v>2800</v>
      </c>
      <c r="K137" s="5">
        <f>student_data[[#This Row],[Total Fee]]-student_data[[#This Row],[Deposit Fee]]</f>
        <v>400</v>
      </c>
      <c r="L137" s="5" t="str">
        <f>IF(student_data[[#This Row],[Outstanding Fee]]=0,"Paid",IF(student_data[[#This Row],[Deposit Fee]]=0,"Unpaid","Partially Paid"))</f>
        <v>Partially Paid</v>
      </c>
      <c r="M137" s="5" t="s">
        <v>78</v>
      </c>
      <c r="N137"/>
      <c r="O137"/>
      <c r="P137"/>
      <c r="Q137"/>
      <c r="R137"/>
      <c r="S137"/>
      <c r="T137"/>
      <c r="U137"/>
      <c r="V137"/>
      <c r="W137"/>
    </row>
    <row r="138" spans="1:23" ht="15.4">
      <c r="A138" s="5">
        <v>799</v>
      </c>
      <c r="B138" s="5">
        <v>18799</v>
      </c>
      <c r="C138" s="5" t="s">
        <v>1232</v>
      </c>
      <c r="D138" s="5" t="s">
        <v>1109</v>
      </c>
      <c r="E138" s="5" t="s">
        <v>9</v>
      </c>
      <c r="F138" s="5" t="s">
        <v>1362</v>
      </c>
      <c r="G138" s="8">
        <v>45344</v>
      </c>
      <c r="H138" s="8" t="str">
        <f t="shared" si="2"/>
        <v>Feb</v>
      </c>
      <c r="I138" s="5">
        <v>3200</v>
      </c>
      <c r="J138" s="5">
        <v>2800</v>
      </c>
      <c r="K138" s="5">
        <f>student_data[[#This Row],[Total Fee]]-student_data[[#This Row],[Deposit Fee]]</f>
        <v>400</v>
      </c>
      <c r="L138" s="5" t="str">
        <f>IF(student_data[[#This Row],[Outstanding Fee]]=0,"Paid",IF(student_data[[#This Row],[Deposit Fee]]=0,"Unpaid","Partially Paid"))</f>
        <v>Partially Paid</v>
      </c>
      <c r="M138" s="5" t="s">
        <v>16</v>
      </c>
      <c r="N138"/>
      <c r="O138"/>
      <c r="P138"/>
      <c r="Q138"/>
      <c r="R138"/>
      <c r="S138"/>
      <c r="T138"/>
      <c r="U138"/>
      <c r="V138"/>
      <c r="W138"/>
    </row>
    <row r="139" spans="1:23" ht="15.4">
      <c r="A139" s="5">
        <v>800</v>
      </c>
      <c r="B139" s="5">
        <v>18800</v>
      </c>
      <c r="C139" s="5" t="s">
        <v>1233</v>
      </c>
      <c r="D139" s="5" t="s">
        <v>1234</v>
      </c>
      <c r="E139" s="5" t="s">
        <v>25</v>
      </c>
      <c r="F139" s="5" t="s">
        <v>1362</v>
      </c>
      <c r="G139" s="8">
        <v>45344</v>
      </c>
      <c r="H139" s="8" t="str">
        <f t="shared" si="2"/>
        <v>Feb</v>
      </c>
      <c r="I139" s="5">
        <v>3200</v>
      </c>
      <c r="J139" s="5">
        <v>3200</v>
      </c>
      <c r="K139" s="5">
        <f>student_data[[#This Row],[Total Fee]]-student_data[[#This Row],[Deposit Fee]]</f>
        <v>0</v>
      </c>
      <c r="L139" s="5" t="str">
        <f>IF(student_data[[#This Row],[Outstanding Fee]]=0,"Paid",IF(student_data[[#This Row],[Deposit Fee]]=0,"Unpaid","Partially Paid"))</f>
        <v>Paid</v>
      </c>
      <c r="M139" s="5" t="s">
        <v>19</v>
      </c>
      <c r="N139"/>
      <c r="O139"/>
      <c r="P139"/>
      <c r="Q139"/>
      <c r="R139"/>
      <c r="S139"/>
      <c r="T139"/>
      <c r="U139"/>
      <c r="V139"/>
      <c r="W139"/>
    </row>
    <row r="140" spans="1:23" ht="15.4">
      <c r="A140" s="5">
        <v>801</v>
      </c>
      <c r="B140" s="5">
        <v>18801</v>
      </c>
      <c r="C140" s="5" t="s">
        <v>1235</v>
      </c>
      <c r="D140" s="5" t="s">
        <v>1219</v>
      </c>
      <c r="E140" s="5" t="s">
        <v>9</v>
      </c>
      <c r="F140" s="5" t="s">
        <v>1362</v>
      </c>
      <c r="G140" s="8">
        <v>45344</v>
      </c>
      <c r="H140" s="8" t="str">
        <f t="shared" si="2"/>
        <v>Feb</v>
      </c>
      <c r="I140" s="5">
        <v>3200</v>
      </c>
      <c r="J140" s="5">
        <v>2500</v>
      </c>
      <c r="K140" s="5">
        <f>student_data[[#This Row],[Total Fee]]-student_data[[#This Row],[Deposit Fee]]</f>
        <v>700</v>
      </c>
      <c r="L140" s="5" t="str">
        <f>IF(student_data[[#This Row],[Outstanding Fee]]=0,"Paid",IF(student_data[[#This Row],[Deposit Fee]]=0,"Unpaid","Partially Paid"))</f>
        <v>Partially Paid</v>
      </c>
      <c r="M140" s="5" t="s">
        <v>47</v>
      </c>
      <c r="N140"/>
      <c r="O140"/>
      <c r="P140"/>
      <c r="Q140"/>
      <c r="R140"/>
      <c r="S140"/>
      <c r="T140"/>
      <c r="U140"/>
      <c r="V140"/>
      <c r="W140"/>
    </row>
    <row r="141" spans="1:23" ht="15.4">
      <c r="A141" s="5">
        <v>802</v>
      </c>
      <c r="B141" s="5">
        <v>18802</v>
      </c>
      <c r="C141" s="5" t="s">
        <v>1236</v>
      </c>
      <c r="D141" s="5" t="s">
        <v>155</v>
      </c>
      <c r="E141" s="5" t="s">
        <v>9</v>
      </c>
      <c r="F141" s="5" t="s">
        <v>1362</v>
      </c>
      <c r="G141" s="8">
        <v>45345</v>
      </c>
      <c r="H141" s="8" t="str">
        <f t="shared" si="2"/>
        <v>Feb</v>
      </c>
      <c r="I141" s="5">
        <v>3200</v>
      </c>
      <c r="J141" s="5">
        <v>2600</v>
      </c>
      <c r="K141" s="5">
        <f>student_data[[#This Row],[Total Fee]]-student_data[[#This Row],[Deposit Fee]]</f>
        <v>600</v>
      </c>
      <c r="L141" s="5" t="str">
        <f>IF(student_data[[#This Row],[Outstanding Fee]]=0,"Paid",IF(student_data[[#This Row],[Deposit Fee]]=0,"Unpaid","Partially Paid"))</f>
        <v>Partially Paid</v>
      </c>
      <c r="M141" s="5" t="s">
        <v>75</v>
      </c>
      <c r="N141"/>
      <c r="O141"/>
      <c r="P141"/>
      <c r="Q141"/>
      <c r="R141"/>
      <c r="S141"/>
      <c r="T141"/>
      <c r="U141"/>
      <c r="V141"/>
      <c r="W141"/>
    </row>
    <row r="142" spans="1:23" ht="15.4">
      <c r="A142" s="5">
        <v>803</v>
      </c>
      <c r="B142" s="5">
        <v>18803</v>
      </c>
      <c r="C142" s="5" t="s">
        <v>1237</v>
      </c>
      <c r="D142" s="5" t="s">
        <v>1238</v>
      </c>
      <c r="E142" s="5" t="s">
        <v>9</v>
      </c>
      <c r="F142" s="5" t="s">
        <v>1362</v>
      </c>
      <c r="G142" s="8">
        <v>45345</v>
      </c>
      <c r="H142" s="8" t="str">
        <f t="shared" si="2"/>
        <v>Feb</v>
      </c>
      <c r="I142" s="5">
        <v>3200</v>
      </c>
      <c r="J142" s="5">
        <v>3200</v>
      </c>
      <c r="K142" s="5">
        <f>student_data[[#This Row],[Total Fee]]-student_data[[#This Row],[Deposit Fee]]</f>
        <v>0</v>
      </c>
      <c r="L142" s="5" t="str">
        <f>IF(student_data[[#This Row],[Outstanding Fee]]=0,"Paid",IF(student_data[[#This Row],[Deposit Fee]]=0,"Unpaid","Partially Paid"))</f>
        <v>Paid</v>
      </c>
      <c r="M142" s="5" t="s">
        <v>89</v>
      </c>
      <c r="N142"/>
      <c r="O142"/>
      <c r="P142"/>
      <c r="Q142"/>
      <c r="R142"/>
      <c r="S142"/>
      <c r="T142"/>
      <c r="U142"/>
      <c r="V142"/>
      <c r="W142"/>
    </row>
    <row r="143" spans="1:23" ht="15.4">
      <c r="A143" s="5">
        <v>804</v>
      </c>
      <c r="B143" s="5">
        <v>18804</v>
      </c>
      <c r="C143" s="5" t="s">
        <v>1239</v>
      </c>
      <c r="D143" s="5" t="s">
        <v>1240</v>
      </c>
      <c r="E143" s="5" t="s">
        <v>25</v>
      </c>
      <c r="F143" s="5" t="s">
        <v>1362</v>
      </c>
      <c r="G143" s="8">
        <v>45346</v>
      </c>
      <c r="H143" s="8" t="str">
        <f t="shared" si="2"/>
        <v>Feb</v>
      </c>
      <c r="I143" s="5">
        <v>3200</v>
      </c>
      <c r="J143" s="5">
        <v>3200</v>
      </c>
      <c r="K143" s="5">
        <f>student_data[[#This Row],[Total Fee]]-student_data[[#This Row],[Deposit Fee]]</f>
        <v>0</v>
      </c>
      <c r="L143" s="5" t="str">
        <f>IF(student_data[[#This Row],[Outstanding Fee]]=0,"Paid",IF(student_data[[#This Row],[Deposit Fee]]=0,"Unpaid","Partially Paid"))</f>
        <v>Paid</v>
      </c>
      <c r="M143" s="5" t="s">
        <v>29</v>
      </c>
      <c r="N143"/>
      <c r="O143"/>
      <c r="P143"/>
      <c r="Q143"/>
      <c r="R143"/>
      <c r="S143"/>
      <c r="T143"/>
      <c r="U143"/>
      <c r="V143"/>
      <c r="W143"/>
    </row>
    <row r="144" spans="1:23" ht="15.4">
      <c r="A144" s="5">
        <v>805</v>
      </c>
      <c r="B144" s="5">
        <v>18805</v>
      </c>
      <c r="C144" s="5" t="s">
        <v>1241</v>
      </c>
      <c r="D144" s="5" t="s">
        <v>1242</v>
      </c>
      <c r="E144" s="5" t="s">
        <v>25</v>
      </c>
      <c r="F144" s="5" t="s">
        <v>1362</v>
      </c>
      <c r="G144" s="8">
        <v>45346</v>
      </c>
      <c r="H144" s="8" t="str">
        <f t="shared" si="2"/>
        <v>Feb</v>
      </c>
      <c r="I144" s="5">
        <v>3200</v>
      </c>
      <c r="J144" s="5">
        <v>2600</v>
      </c>
      <c r="K144" s="5">
        <f>student_data[[#This Row],[Total Fee]]-student_data[[#This Row],[Deposit Fee]]</f>
        <v>600</v>
      </c>
      <c r="L144" s="5" t="str">
        <f>IF(student_data[[#This Row],[Outstanding Fee]]=0,"Paid",IF(student_data[[#This Row],[Deposit Fee]]=0,"Unpaid","Partially Paid"))</f>
        <v>Partially Paid</v>
      </c>
      <c r="M144" s="5" t="s">
        <v>10</v>
      </c>
      <c r="N144"/>
      <c r="O144"/>
      <c r="P144"/>
      <c r="Q144"/>
      <c r="R144"/>
      <c r="S144"/>
      <c r="T144"/>
      <c r="U144"/>
      <c r="V144"/>
      <c r="W144"/>
    </row>
    <row r="145" spans="1:23" ht="15.4">
      <c r="A145" s="5">
        <v>806</v>
      </c>
      <c r="B145" s="5">
        <v>18806</v>
      </c>
      <c r="C145" s="5" t="s">
        <v>1243</v>
      </c>
      <c r="D145" s="5" t="s">
        <v>115</v>
      </c>
      <c r="E145" s="5" t="s">
        <v>25</v>
      </c>
      <c r="F145" s="5" t="s">
        <v>1362</v>
      </c>
      <c r="G145" s="8">
        <v>45346</v>
      </c>
      <c r="H145" s="8" t="str">
        <f t="shared" si="2"/>
        <v>Feb</v>
      </c>
      <c r="I145" s="5">
        <v>3200</v>
      </c>
      <c r="J145" s="5">
        <v>3200</v>
      </c>
      <c r="K145" s="5">
        <f>student_data[[#This Row],[Total Fee]]-student_data[[#This Row],[Deposit Fee]]</f>
        <v>0</v>
      </c>
      <c r="L145" s="5" t="str">
        <f>IF(student_data[[#This Row],[Outstanding Fee]]=0,"Paid",IF(student_data[[#This Row],[Deposit Fee]]=0,"Unpaid","Partially Paid"))</f>
        <v>Paid</v>
      </c>
      <c r="M145" s="5" t="s">
        <v>13</v>
      </c>
      <c r="N145"/>
      <c r="O145"/>
      <c r="P145"/>
      <c r="Q145"/>
      <c r="R145"/>
      <c r="S145"/>
      <c r="T145"/>
      <c r="U145"/>
      <c r="V145"/>
      <c r="W145"/>
    </row>
    <row r="146" spans="1:23" ht="15.4">
      <c r="A146" s="5">
        <v>807</v>
      </c>
      <c r="B146" s="5">
        <v>18807</v>
      </c>
      <c r="C146" s="5" t="s">
        <v>1244</v>
      </c>
      <c r="D146" s="5" t="s">
        <v>1245</v>
      </c>
      <c r="E146" s="5" t="s">
        <v>9</v>
      </c>
      <c r="F146" s="5" t="s">
        <v>1362</v>
      </c>
      <c r="G146" s="8">
        <v>45348</v>
      </c>
      <c r="H146" s="8" t="str">
        <f t="shared" si="2"/>
        <v>Feb</v>
      </c>
      <c r="I146" s="5">
        <v>3200</v>
      </c>
      <c r="J146" s="5">
        <v>3200</v>
      </c>
      <c r="K146" s="5">
        <f>student_data[[#This Row],[Total Fee]]-student_data[[#This Row],[Deposit Fee]]</f>
        <v>0</v>
      </c>
      <c r="L146" s="5" t="str">
        <f>IF(student_data[[#This Row],[Outstanding Fee]]=0,"Paid",IF(student_data[[#This Row],[Deposit Fee]]=0,"Unpaid","Partially Paid"))</f>
        <v>Paid</v>
      </c>
      <c r="M146" s="5" t="s">
        <v>38</v>
      </c>
      <c r="N146"/>
      <c r="O146"/>
      <c r="P146"/>
      <c r="Q146"/>
      <c r="R146"/>
      <c r="S146"/>
      <c r="T146"/>
      <c r="U146"/>
      <c r="V146"/>
      <c r="W146"/>
    </row>
    <row r="147" spans="1:23" ht="15.4">
      <c r="A147" s="5">
        <v>808</v>
      </c>
      <c r="B147" s="5">
        <v>18808</v>
      </c>
      <c r="C147" s="5" t="s">
        <v>1246</v>
      </c>
      <c r="D147" s="5" t="s">
        <v>1247</v>
      </c>
      <c r="E147" s="5" t="s">
        <v>9</v>
      </c>
      <c r="F147" s="5" t="s">
        <v>1362</v>
      </c>
      <c r="G147" s="8">
        <v>45348</v>
      </c>
      <c r="H147" s="8" t="str">
        <f t="shared" si="2"/>
        <v>Feb</v>
      </c>
      <c r="I147" s="5">
        <v>3200</v>
      </c>
      <c r="J147" s="5">
        <v>3200</v>
      </c>
      <c r="K147" s="5">
        <f>student_data[[#This Row],[Total Fee]]-student_data[[#This Row],[Deposit Fee]]</f>
        <v>0</v>
      </c>
      <c r="L147" s="5" t="str">
        <f>IF(student_data[[#This Row],[Outstanding Fee]]=0,"Paid",IF(student_data[[#This Row],[Deposit Fee]]=0,"Unpaid","Partially Paid"))</f>
        <v>Paid</v>
      </c>
      <c r="M147" s="5" t="s">
        <v>78</v>
      </c>
      <c r="N147"/>
      <c r="O147"/>
      <c r="P147"/>
      <c r="Q147"/>
      <c r="R147"/>
      <c r="S147"/>
      <c r="T147"/>
      <c r="U147"/>
      <c r="V147"/>
      <c r="W147"/>
    </row>
    <row r="148" spans="1:23" ht="15.4">
      <c r="A148" s="5">
        <v>809</v>
      </c>
      <c r="B148" s="5">
        <v>18809</v>
      </c>
      <c r="C148" s="5" t="s">
        <v>1248</v>
      </c>
      <c r="D148" s="5" t="s">
        <v>961</v>
      </c>
      <c r="E148" s="5" t="s">
        <v>9</v>
      </c>
      <c r="F148" s="5" t="s">
        <v>1362</v>
      </c>
      <c r="G148" s="8">
        <v>45348</v>
      </c>
      <c r="H148" s="8" t="str">
        <f t="shared" si="2"/>
        <v>Feb</v>
      </c>
      <c r="I148" s="5">
        <v>3200</v>
      </c>
      <c r="J148" s="5">
        <v>3200</v>
      </c>
      <c r="K148" s="5">
        <f>student_data[[#This Row],[Total Fee]]-student_data[[#This Row],[Deposit Fee]]</f>
        <v>0</v>
      </c>
      <c r="L148" s="5" t="str">
        <f>IF(student_data[[#This Row],[Outstanding Fee]]=0,"Paid",IF(student_data[[#This Row],[Deposit Fee]]=0,"Unpaid","Partially Paid"))</f>
        <v>Paid</v>
      </c>
      <c r="M148" s="5" t="s">
        <v>16</v>
      </c>
      <c r="N148"/>
      <c r="O148"/>
      <c r="P148"/>
      <c r="Q148"/>
      <c r="R148"/>
      <c r="S148"/>
      <c r="T148"/>
      <c r="U148"/>
      <c r="V148"/>
      <c r="W148"/>
    </row>
    <row r="149" spans="1:23" ht="15.4">
      <c r="A149" s="5">
        <v>810</v>
      </c>
      <c r="B149" s="5">
        <v>18810</v>
      </c>
      <c r="C149" s="5" t="s">
        <v>310</v>
      </c>
      <c r="D149" s="5" t="s">
        <v>61</v>
      </c>
      <c r="E149" s="5" t="s">
        <v>9</v>
      </c>
      <c r="F149" s="5" t="s">
        <v>1362</v>
      </c>
      <c r="G149" s="8">
        <v>45348</v>
      </c>
      <c r="H149" s="8" t="str">
        <f t="shared" si="2"/>
        <v>Feb</v>
      </c>
      <c r="I149" s="5">
        <v>3200</v>
      </c>
      <c r="J149" s="5">
        <v>2600</v>
      </c>
      <c r="K149" s="5">
        <f>student_data[[#This Row],[Total Fee]]-student_data[[#This Row],[Deposit Fee]]</f>
        <v>600</v>
      </c>
      <c r="L149" s="5" t="str">
        <f>IF(student_data[[#This Row],[Outstanding Fee]]=0,"Paid",IF(student_data[[#This Row],[Deposit Fee]]=0,"Unpaid","Partially Paid"))</f>
        <v>Partially Paid</v>
      </c>
      <c r="M149" s="5" t="s">
        <v>19</v>
      </c>
      <c r="N149"/>
      <c r="O149"/>
      <c r="P149"/>
      <c r="Q149"/>
      <c r="R149"/>
      <c r="S149"/>
      <c r="T149"/>
      <c r="U149"/>
      <c r="V149"/>
      <c r="W149"/>
    </row>
    <row r="150" spans="1:23" ht="15.4">
      <c r="A150" s="5">
        <v>811</v>
      </c>
      <c r="B150" s="5">
        <v>18811</v>
      </c>
      <c r="C150" s="5" t="s">
        <v>982</v>
      </c>
      <c r="D150" s="5" t="s">
        <v>927</v>
      </c>
      <c r="E150" s="5" t="s">
        <v>9</v>
      </c>
      <c r="F150" s="5" t="s">
        <v>1362</v>
      </c>
      <c r="G150" s="8">
        <v>45349</v>
      </c>
      <c r="H150" s="8" t="str">
        <f t="shared" si="2"/>
        <v>Feb</v>
      </c>
      <c r="I150" s="5">
        <v>3200</v>
      </c>
      <c r="J150" s="5">
        <v>2800</v>
      </c>
      <c r="K150" s="5">
        <f>student_data[[#This Row],[Total Fee]]-student_data[[#This Row],[Deposit Fee]]</f>
        <v>400</v>
      </c>
      <c r="L150" s="5" t="str">
        <f>IF(student_data[[#This Row],[Outstanding Fee]]=0,"Paid",IF(student_data[[#This Row],[Deposit Fee]]=0,"Unpaid","Partially Paid"))</f>
        <v>Partially Paid</v>
      </c>
      <c r="M150" s="5" t="s">
        <v>47</v>
      </c>
      <c r="N150"/>
      <c r="O150"/>
      <c r="P150"/>
      <c r="Q150"/>
      <c r="R150"/>
      <c r="S150"/>
      <c r="T150"/>
      <c r="U150"/>
      <c r="V150"/>
      <c r="W150"/>
    </row>
    <row r="151" spans="1:23" ht="15.4">
      <c r="A151" s="5">
        <v>812</v>
      </c>
      <c r="B151" s="5">
        <v>18812</v>
      </c>
      <c r="C151" s="5" t="s">
        <v>1249</v>
      </c>
      <c r="D151" s="5" t="s">
        <v>1250</v>
      </c>
      <c r="E151" s="5" t="s">
        <v>25</v>
      </c>
      <c r="F151" s="5" t="s">
        <v>1362</v>
      </c>
      <c r="G151" s="8">
        <v>45349</v>
      </c>
      <c r="H151" s="8" t="str">
        <f t="shared" si="2"/>
        <v>Feb</v>
      </c>
      <c r="I151" s="5">
        <v>3200</v>
      </c>
      <c r="J151" s="5">
        <v>2800</v>
      </c>
      <c r="K151" s="5">
        <f>student_data[[#This Row],[Total Fee]]-student_data[[#This Row],[Deposit Fee]]</f>
        <v>400</v>
      </c>
      <c r="L151" s="5" t="str">
        <f>IF(student_data[[#This Row],[Outstanding Fee]]=0,"Paid",IF(student_data[[#This Row],[Deposit Fee]]=0,"Unpaid","Partially Paid"))</f>
        <v>Partially Paid</v>
      </c>
      <c r="M151" s="5" t="s">
        <v>75</v>
      </c>
      <c r="N151"/>
      <c r="O151"/>
      <c r="P151"/>
      <c r="Q151"/>
      <c r="R151"/>
      <c r="S151"/>
      <c r="T151"/>
      <c r="U151"/>
      <c r="V151"/>
      <c r="W151"/>
    </row>
    <row r="152" spans="1:23" ht="15.4">
      <c r="A152" s="5">
        <v>813</v>
      </c>
      <c r="B152" s="5">
        <v>18813</v>
      </c>
      <c r="C152" s="5" t="s">
        <v>1251</v>
      </c>
      <c r="D152" s="5" t="s">
        <v>838</v>
      </c>
      <c r="E152" s="5" t="s">
        <v>25</v>
      </c>
      <c r="F152" s="5" t="s">
        <v>1362</v>
      </c>
      <c r="G152" s="8">
        <v>45350</v>
      </c>
      <c r="H152" s="8" t="str">
        <f t="shared" si="2"/>
        <v>Feb</v>
      </c>
      <c r="I152" s="5">
        <v>3200</v>
      </c>
      <c r="J152" s="5">
        <v>2600</v>
      </c>
      <c r="K152" s="5">
        <f>student_data[[#This Row],[Total Fee]]-student_data[[#This Row],[Deposit Fee]]</f>
        <v>600</v>
      </c>
      <c r="L152" s="5" t="str">
        <f>IF(student_data[[#This Row],[Outstanding Fee]]=0,"Paid",IF(student_data[[#This Row],[Deposit Fee]]=0,"Unpaid","Partially Paid"))</f>
        <v>Partially Paid</v>
      </c>
      <c r="M152" s="5" t="s">
        <v>89</v>
      </c>
      <c r="N152"/>
      <c r="O152"/>
      <c r="P152"/>
      <c r="Q152"/>
      <c r="R152"/>
      <c r="S152"/>
      <c r="T152"/>
      <c r="U152"/>
      <c r="V152"/>
      <c r="W152"/>
    </row>
    <row r="153" spans="1:23" ht="15.4">
      <c r="A153" s="5">
        <v>814</v>
      </c>
      <c r="B153" s="5">
        <v>18814</v>
      </c>
      <c r="C153" s="5" t="s">
        <v>1252</v>
      </c>
      <c r="D153" s="5" t="s">
        <v>864</v>
      </c>
      <c r="E153" s="5" t="s">
        <v>25</v>
      </c>
      <c r="F153" s="5" t="s">
        <v>1362</v>
      </c>
      <c r="G153" s="8">
        <v>45350</v>
      </c>
      <c r="H153" s="8" t="str">
        <f t="shared" si="2"/>
        <v>Feb</v>
      </c>
      <c r="I153" s="5">
        <v>3200</v>
      </c>
      <c r="J153" s="5">
        <v>2600</v>
      </c>
      <c r="K153" s="5">
        <f>student_data[[#This Row],[Total Fee]]-student_data[[#This Row],[Deposit Fee]]</f>
        <v>600</v>
      </c>
      <c r="L153" s="5" t="str">
        <f>IF(student_data[[#This Row],[Outstanding Fee]]=0,"Paid",IF(student_data[[#This Row],[Deposit Fee]]=0,"Unpaid","Partially Paid"))</f>
        <v>Partially Paid</v>
      </c>
      <c r="M153" s="5" t="s">
        <v>29</v>
      </c>
      <c r="N153"/>
      <c r="O153"/>
      <c r="P153"/>
      <c r="Q153"/>
      <c r="R153"/>
      <c r="S153"/>
      <c r="T153"/>
      <c r="U153"/>
      <c r="V153"/>
      <c r="W153"/>
    </row>
    <row r="154" spans="1:23" ht="15.4">
      <c r="A154" s="5">
        <v>845</v>
      </c>
      <c r="B154" s="5">
        <v>18845</v>
      </c>
      <c r="C154" s="5" t="s">
        <v>1282</v>
      </c>
      <c r="D154" s="5" t="s">
        <v>1283</v>
      </c>
      <c r="E154" s="5" t="s">
        <v>9</v>
      </c>
      <c r="F154" s="5" t="s">
        <v>1362</v>
      </c>
      <c r="G154" s="8">
        <v>45350</v>
      </c>
      <c r="H154" s="8" t="str">
        <f t="shared" si="2"/>
        <v>Feb</v>
      </c>
      <c r="I154" s="5">
        <v>3200</v>
      </c>
      <c r="J154" s="5">
        <v>450</v>
      </c>
      <c r="K154" s="5">
        <f>student_data[[#This Row],[Total Fee]]-student_data[[#This Row],[Deposit Fee]]</f>
        <v>2750</v>
      </c>
      <c r="L154" s="5" t="str">
        <f>IF(student_data[[#This Row],[Outstanding Fee]]=0,"Paid",IF(student_data[[#This Row],[Deposit Fee]]=0,"Unpaid","Partially Paid"))</f>
        <v>Partially Paid</v>
      </c>
      <c r="M154" s="5" t="s">
        <v>75</v>
      </c>
      <c r="N154"/>
      <c r="O154"/>
      <c r="P154"/>
      <c r="Q154"/>
      <c r="R154"/>
      <c r="S154"/>
      <c r="T154"/>
      <c r="U154"/>
      <c r="V154"/>
      <c r="W154"/>
    </row>
    <row r="155" spans="1:23" ht="15.4">
      <c r="A155" s="5">
        <v>846</v>
      </c>
      <c r="B155" s="5">
        <v>18846</v>
      </c>
      <c r="C155" s="5" t="s">
        <v>1284</v>
      </c>
      <c r="D155" s="5" t="s">
        <v>1285</v>
      </c>
      <c r="E155" s="5" t="s">
        <v>9</v>
      </c>
      <c r="F155" s="5" t="s">
        <v>1362</v>
      </c>
      <c r="G155" s="8">
        <v>45350</v>
      </c>
      <c r="H155" s="8" t="str">
        <f t="shared" si="2"/>
        <v>Feb</v>
      </c>
      <c r="I155" s="5">
        <v>3200</v>
      </c>
      <c r="J155" s="5">
        <v>3200</v>
      </c>
      <c r="K155" s="5">
        <f>student_data[[#This Row],[Total Fee]]-student_data[[#This Row],[Deposit Fee]]</f>
        <v>0</v>
      </c>
      <c r="L155" s="5" t="str">
        <f>IF(student_data[[#This Row],[Outstanding Fee]]=0,"Paid",IF(student_data[[#This Row],[Deposit Fee]]=0,"Unpaid","Partially Paid"))</f>
        <v>Paid</v>
      </c>
      <c r="M155" s="5" t="s">
        <v>19</v>
      </c>
      <c r="N155"/>
      <c r="O155"/>
      <c r="P155"/>
      <c r="Q155"/>
      <c r="R155"/>
      <c r="S155"/>
      <c r="T155"/>
      <c r="U155"/>
      <c r="V155"/>
      <c r="W155"/>
    </row>
    <row r="156" spans="1:23" ht="15.4">
      <c r="A156" s="5">
        <v>847</v>
      </c>
      <c r="B156" s="5">
        <v>18847</v>
      </c>
      <c r="C156" s="5" t="s">
        <v>1286</v>
      </c>
      <c r="D156" s="5" t="s">
        <v>1287</v>
      </c>
      <c r="E156" s="5" t="s">
        <v>9</v>
      </c>
      <c r="F156" s="5" t="s">
        <v>1362</v>
      </c>
      <c r="G156" s="8">
        <v>45350</v>
      </c>
      <c r="H156" s="8" t="str">
        <f t="shared" si="2"/>
        <v>Feb</v>
      </c>
      <c r="I156" s="5">
        <v>3200</v>
      </c>
      <c r="J156" s="5">
        <v>2600</v>
      </c>
      <c r="K156" s="5">
        <f>student_data[[#This Row],[Total Fee]]-student_data[[#This Row],[Deposit Fee]]</f>
        <v>600</v>
      </c>
      <c r="L156" s="5" t="str">
        <f>IF(student_data[[#This Row],[Outstanding Fee]]=0,"Paid",IF(student_data[[#This Row],[Deposit Fee]]=0,"Unpaid","Partially Paid"))</f>
        <v>Partially Paid</v>
      </c>
      <c r="M156" s="5" t="s">
        <v>47</v>
      </c>
      <c r="N156"/>
      <c r="O156"/>
      <c r="P156"/>
      <c r="Q156"/>
      <c r="R156"/>
      <c r="S156"/>
      <c r="T156"/>
      <c r="U156"/>
      <c r="V156"/>
      <c r="W156"/>
    </row>
    <row r="157" spans="1:23" ht="15.4">
      <c r="A157" s="5">
        <v>848</v>
      </c>
      <c r="B157" s="5">
        <v>18848</v>
      </c>
      <c r="C157" s="5" t="s">
        <v>60</v>
      </c>
      <c r="D157" s="5" t="s">
        <v>482</v>
      </c>
      <c r="E157" s="5" t="s">
        <v>9</v>
      </c>
      <c r="F157" s="5" t="s">
        <v>1362</v>
      </c>
      <c r="G157" s="8">
        <v>45350</v>
      </c>
      <c r="H157" s="8" t="str">
        <f t="shared" si="2"/>
        <v>Feb</v>
      </c>
      <c r="I157" s="5">
        <v>3200</v>
      </c>
      <c r="J157" s="5">
        <v>2800</v>
      </c>
      <c r="K157" s="5">
        <f>student_data[[#This Row],[Total Fee]]-student_data[[#This Row],[Deposit Fee]]</f>
        <v>400</v>
      </c>
      <c r="L157" s="5" t="str">
        <f>IF(student_data[[#This Row],[Outstanding Fee]]=0,"Paid",IF(student_data[[#This Row],[Deposit Fee]]=0,"Unpaid","Partially Paid"))</f>
        <v>Partially Paid</v>
      </c>
      <c r="M157" s="5" t="s">
        <v>47</v>
      </c>
      <c r="N157"/>
      <c r="O157"/>
      <c r="P157"/>
      <c r="Q157"/>
      <c r="R157"/>
      <c r="S157"/>
      <c r="T157"/>
      <c r="U157"/>
      <c r="V157"/>
      <c r="W157"/>
    </row>
    <row r="158" spans="1:23" ht="15.4">
      <c r="A158" s="5">
        <v>849</v>
      </c>
      <c r="B158" s="5">
        <v>18849</v>
      </c>
      <c r="C158" s="5" t="s">
        <v>64</v>
      </c>
      <c r="D158" s="5" t="s">
        <v>248</v>
      </c>
      <c r="E158" s="5" t="s">
        <v>9</v>
      </c>
      <c r="F158" s="5" t="s">
        <v>1362</v>
      </c>
      <c r="G158" s="8">
        <v>45352</v>
      </c>
      <c r="H158" s="8" t="str">
        <f t="shared" si="2"/>
        <v>Mar</v>
      </c>
      <c r="I158" s="5">
        <v>3200</v>
      </c>
      <c r="J158" s="5">
        <v>2600</v>
      </c>
      <c r="K158" s="5">
        <f>student_data[[#This Row],[Total Fee]]-student_data[[#This Row],[Deposit Fee]]</f>
        <v>600</v>
      </c>
      <c r="L158" s="5" t="str">
        <f>IF(student_data[[#This Row],[Outstanding Fee]]=0,"Paid",IF(student_data[[#This Row],[Deposit Fee]]=0,"Unpaid","Partially Paid"))</f>
        <v>Partially Paid</v>
      </c>
      <c r="M158" s="5" t="s">
        <v>78</v>
      </c>
      <c r="N158"/>
      <c r="O158"/>
      <c r="P158"/>
      <c r="Q158"/>
      <c r="R158"/>
      <c r="S158"/>
      <c r="T158"/>
      <c r="U158"/>
      <c r="V158"/>
      <c r="W158"/>
    </row>
    <row r="159" spans="1:23" ht="15.4">
      <c r="A159" s="5">
        <v>663</v>
      </c>
      <c r="B159" s="5">
        <v>18663</v>
      </c>
      <c r="C159" s="5" t="s">
        <v>1037</v>
      </c>
      <c r="D159" s="5" t="s">
        <v>1038</v>
      </c>
      <c r="E159" s="5" t="s">
        <v>25</v>
      </c>
      <c r="F159" s="5" t="s">
        <v>1362</v>
      </c>
      <c r="G159" s="8">
        <v>45353</v>
      </c>
      <c r="H159" s="8" t="str">
        <f t="shared" si="2"/>
        <v>Mar</v>
      </c>
      <c r="I159" s="5">
        <v>3200</v>
      </c>
      <c r="J159" s="5">
        <v>3200</v>
      </c>
      <c r="K159" s="5">
        <f>student_data[[#This Row],[Total Fee]]-student_data[[#This Row],[Deposit Fee]]</f>
        <v>0</v>
      </c>
      <c r="L159" s="5" t="str">
        <f>IF(student_data[[#This Row],[Outstanding Fee]]=0,"Paid",IF(student_data[[#This Row],[Deposit Fee]]=0,"Unpaid","Partially Paid"))</f>
        <v>Paid</v>
      </c>
      <c r="M159" s="5" t="s">
        <v>13</v>
      </c>
      <c r="N159"/>
      <c r="O159"/>
      <c r="P159"/>
      <c r="Q159"/>
      <c r="R159"/>
      <c r="S159"/>
      <c r="T159"/>
      <c r="U159"/>
      <c r="V159"/>
      <c r="W159"/>
    </row>
    <row r="160" spans="1:23" ht="15.4">
      <c r="A160" s="5">
        <v>664</v>
      </c>
      <c r="B160" s="5">
        <v>18664</v>
      </c>
      <c r="C160" s="5" t="s">
        <v>1039</v>
      </c>
      <c r="D160" s="5" t="s">
        <v>1040</v>
      </c>
      <c r="E160" s="5" t="s">
        <v>25</v>
      </c>
      <c r="F160" s="5" t="s">
        <v>1362</v>
      </c>
      <c r="G160" s="8">
        <v>45355</v>
      </c>
      <c r="H160" s="8" t="str">
        <f t="shared" si="2"/>
        <v>Mar</v>
      </c>
      <c r="I160" s="5">
        <v>3200</v>
      </c>
      <c r="J160" s="5">
        <v>3200</v>
      </c>
      <c r="K160" s="5">
        <f>student_data[[#This Row],[Total Fee]]-student_data[[#This Row],[Deposit Fee]]</f>
        <v>0</v>
      </c>
      <c r="L160" s="5" t="str">
        <f>IF(student_data[[#This Row],[Outstanding Fee]]=0,"Paid",IF(student_data[[#This Row],[Deposit Fee]]=0,"Unpaid","Partially Paid"))</f>
        <v>Paid</v>
      </c>
      <c r="M160" s="5" t="s">
        <v>16</v>
      </c>
      <c r="N160"/>
      <c r="O160"/>
      <c r="P160"/>
      <c r="Q160"/>
      <c r="R160"/>
      <c r="S160"/>
      <c r="T160"/>
      <c r="U160"/>
      <c r="V160"/>
      <c r="W160"/>
    </row>
    <row r="161" spans="1:23" ht="15.4">
      <c r="A161" s="5">
        <v>665</v>
      </c>
      <c r="B161" s="5">
        <v>18665</v>
      </c>
      <c r="C161" s="5" t="s">
        <v>740</v>
      </c>
      <c r="D161" s="5" t="s">
        <v>1041</v>
      </c>
      <c r="E161" s="5" t="s">
        <v>9</v>
      </c>
      <c r="F161" s="5" t="s">
        <v>1362</v>
      </c>
      <c r="G161" s="8">
        <v>45356</v>
      </c>
      <c r="H161" s="8" t="str">
        <f t="shared" si="2"/>
        <v>Mar</v>
      </c>
      <c r="I161" s="5">
        <v>3200</v>
      </c>
      <c r="J161" s="5">
        <v>450</v>
      </c>
      <c r="K161" s="5">
        <f>student_data[[#This Row],[Total Fee]]-student_data[[#This Row],[Deposit Fee]]</f>
        <v>2750</v>
      </c>
      <c r="L161" s="5" t="str">
        <f>IF(student_data[[#This Row],[Outstanding Fee]]=0,"Paid",IF(student_data[[#This Row],[Deposit Fee]]=0,"Unpaid","Partially Paid"))</f>
        <v>Partially Paid</v>
      </c>
      <c r="M161" s="5" t="s">
        <v>19</v>
      </c>
      <c r="N161"/>
      <c r="O161"/>
      <c r="P161"/>
      <c r="Q161"/>
      <c r="R161"/>
      <c r="S161"/>
      <c r="T161"/>
      <c r="U161"/>
      <c r="V161"/>
      <c r="W161"/>
    </row>
    <row r="162" spans="1:23" ht="15.4">
      <c r="A162" s="5">
        <v>666</v>
      </c>
      <c r="B162" s="5">
        <v>18666</v>
      </c>
      <c r="C162" s="5" t="s">
        <v>1042</v>
      </c>
      <c r="D162" s="5" t="s">
        <v>1043</v>
      </c>
      <c r="E162" s="5" t="s">
        <v>25</v>
      </c>
      <c r="F162" s="5" t="s">
        <v>1362</v>
      </c>
      <c r="G162" s="8">
        <v>45356</v>
      </c>
      <c r="H162" s="8" t="str">
        <f t="shared" si="2"/>
        <v>Mar</v>
      </c>
      <c r="I162" s="5">
        <v>3200</v>
      </c>
      <c r="J162" s="5">
        <v>3200</v>
      </c>
      <c r="K162" s="5">
        <f>student_data[[#This Row],[Total Fee]]-student_data[[#This Row],[Deposit Fee]]</f>
        <v>0</v>
      </c>
      <c r="L162" s="5" t="str">
        <f>IF(student_data[[#This Row],[Outstanding Fee]]=0,"Paid",IF(student_data[[#This Row],[Deposit Fee]]=0,"Unpaid","Partially Paid"))</f>
        <v>Paid</v>
      </c>
      <c r="M162" s="5" t="s">
        <v>22</v>
      </c>
      <c r="N162"/>
      <c r="O162"/>
      <c r="P162"/>
      <c r="Q162"/>
      <c r="R162"/>
      <c r="S162"/>
      <c r="T162"/>
      <c r="U162"/>
      <c r="V162"/>
      <c r="W162"/>
    </row>
    <row r="163" spans="1:23" ht="15.4">
      <c r="A163" s="5">
        <v>667</v>
      </c>
      <c r="B163" s="5">
        <v>18667</v>
      </c>
      <c r="C163" s="5" t="s">
        <v>1044</v>
      </c>
      <c r="D163" s="5" t="s">
        <v>1045</v>
      </c>
      <c r="E163" s="5" t="s">
        <v>9</v>
      </c>
      <c r="F163" s="5" t="s">
        <v>1362</v>
      </c>
      <c r="G163" s="8">
        <v>45356</v>
      </c>
      <c r="H163" s="8" t="str">
        <f t="shared" si="2"/>
        <v>Mar</v>
      </c>
      <c r="I163" s="5">
        <v>3200</v>
      </c>
      <c r="J163" s="5">
        <v>2800</v>
      </c>
      <c r="K163" s="5">
        <f>student_data[[#This Row],[Total Fee]]-student_data[[#This Row],[Deposit Fee]]</f>
        <v>400</v>
      </c>
      <c r="L163" s="5" t="str">
        <f>IF(student_data[[#This Row],[Outstanding Fee]]=0,"Paid",IF(student_data[[#This Row],[Deposit Fee]]=0,"Unpaid","Partially Paid"))</f>
        <v>Partially Paid</v>
      </c>
      <c r="M163" s="5" t="s">
        <v>26</v>
      </c>
      <c r="N163"/>
      <c r="O163"/>
      <c r="P163"/>
      <c r="Q163"/>
      <c r="R163"/>
      <c r="S163"/>
      <c r="T163"/>
      <c r="U163"/>
      <c r="V163"/>
      <c r="W163"/>
    </row>
    <row r="164" spans="1:23" ht="15.4">
      <c r="A164" s="5">
        <v>668</v>
      </c>
      <c r="B164" s="5">
        <v>18668</v>
      </c>
      <c r="C164" s="5" t="s">
        <v>1046</v>
      </c>
      <c r="D164" s="5" t="s">
        <v>1047</v>
      </c>
      <c r="E164" s="5" t="s">
        <v>9</v>
      </c>
      <c r="F164" s="5" t="s">
        <v>1362</v>
      </c>
      <c r="G164" s="8">
        <v>45360</v>
      </c>
      <c r="H164" s="8" t="str">
        <f t="shared" si="2"/>
        <v>Mar</v>
      </c>
      <c r="I164" s="5">
        <v>3200</v>
      </c>
      <c r="J164" s="5">
        <v>2600</v>
      </c>
      <c r="K164" s="5">
        <f>student_data[[#This Row],[Total Fee]]-student_data[[#This Row],[Deposit Fee]]</f>
        <v>600</v>
      </c>
      <c r="L164" s="5" t="str">
        <f>IF(student_data[[#This Row],[Outstanding Fee]]=0,"Paid",IF(student_data[[#This Row],[Deposit Fee]]=0,"Unpaid","Partially Paid"))</f>
        <v>Partially Paid</v>
      </c>
      <c r="M164" s="5" t="s">
        <v>29</v>
      </c>
      <c r="N164"/>
      <c r="O164"/>
      <c r="P164"/>
      <c r="Q164"/>
      <c r="R164"/>
      <c r="S164"/>
      <c r="T164"/>
      <c r="U164"/>
      <c r="V164"/>
      <c r="W164"/>
    </row>
    <row r="165" spans="1:23" ht="15.4">
      <c r="A165" s="5">
        <v>669</v>
      </c>
      <c r="B165" s="5">
        <v>18669</v>
      </c>
      <c r="C165" s="5" t="s">
        <v>1048</v>
      </c>
      <c r="D165" s="5" t="s">
        <v>1049</v>
      </c>
      <c r="E165" s="5" t="s">
        <v>9</v>
      </c>
      <c r="F165" s="5" t="s">
        <v>1362</v>
      </c>
      <c r="G165" s="8">
        <v>45360</v>
      </c>
      <c r="H165" s="8" t="str">
        <f t="shared" si="2"/>
        <v>Mar</v>
      </c>
      <c r="I165" s="5">
        <v>3200</v>
      </c>
      <c r="J165" s="5">
        <v>2600</v>
      </c>
      <c r="K165" s="5">
        <f>student_data[[#This Row],[Total Fee]]-student_data[[#This Row],[Deposit Fee]]</f>
        <v>600</v>
      </c>
      <c r="L165" s="5" t="str">
        <f>IF(student_data[[#This Row],[Outstanding Fee]]=0,"Paid",IF(student_data[[#This Row],[Deposit Fee]]=0,"Unpaid","Partially Paid"))</f>
        <v>Partially Paid</v>
      </c>
      <c r="M165" s="5" t="s">
        <v>32</v>
      </c>
      <c r="N165"/>
      <c r="O165"/>
      <c r="P165"/>
      <c r="Q165"/>
      <c r="R165"/>
      <c r="S165"/>
      <c r="T165"/>
      <c r="U165"/>
      <c r="V165"/>
      <c r="W165"/>
    </row>
    <row r="166" spans="1:23" ht="15.4">
      <c r="A166" s="5">
        <v>62</v>
      </c>
      <c r="B166" s="5">
        <v>18062</v>
      </c>
      <c r="C166" s="5" t="s">
        <v>128</v>
      </c>
      <c r="D166" s="5" t="s">
        <v>129</v>
      </c>
      <c r="E166" s="5" t="s">
        <v>25</v>
      </c>
      <c r="F166" s="5" t="s">
        <v>1362</v>
      </c>
      <c r="G166" s="8">
        <v>45362</v>
      </c>
      <c r="H166" s="8" t="str">
        <f t="shared" si="2"/>
        <v>Mar</v>
      </c>
      <c r="I166" s="5">
        <v>3200</v>
      </c>
      <c r="J166" s="5">
        <v>500</v>
      </c>
      <c r="K166" s="5">
        <f>student_data[[#This Row],[Total Fee]]-student_data[[#This Row],[Deposit Fee]]</f>
        <v>2700</v>
      </c>
      <c r="L166" s="5" t="str">
        <f>IF(student_data[[#This Row],[Outstanding Fee]]=0,"Paid",IF(student_data[[#This Row],[Deposit Fee]]=0,"Unpaid","Partially Paid"))</f>
        <v>Partially Paid</v>
      </c>
      <c r="M166" s="5" t="s">
        <v>47</v>
      </c>
      <c r="N166"/>
      <c r="O166"/>
      <c r="P166"/>
      <c r="Q166"/>
      <c r="R166"/>
      <c r="S166"/>
      <c r="T166"/>
      <c r="U166"/>
      <c r="V166"/>
      <c r="W166"/>
    </row>
    <row r="167" spans="1:23" ht="15.4">
      <c r="A167" s="5">
        <v>670</v>
      </c>
      <c r="B167" s="5">
        <v>18670</v>
      </c>
      <c r="C167" s="5" t="s">
        <v>1050</v>
      </c>
      <c r="D167" s="5" t="s">
        <v>1051</v>
      </c>
      <c r="E167" s="5" t="s">
        <v>9</v>
      </c>
      <c r="F167" s="5" t="s">
        <v>1362</v>
      </c>
      <c r="G167" s="8">
        <v>45362</v>
      </c>
      <c r="H167" s="8" t="str">
        <f t="shared" si="2"/>
        <v>Mar</v>
      </c>
      <c r="I167" s="5">
        <v>3200</v>
      </c>
      <c r="J167" s="5">
        <v>3200</v>
      </c>
      <c r="K167" s="5">
        <f>student_data[[#This Row],[Total Fee]]-student_data[[#This Row],[Deposit Fee]]</f>
        <v>0</v>
      </c>
      <c r="L167" s="5" t="str">
        <f>IF(student_data[[#This Row],[Outstanding Fee]]=0,"Paid",IF(student_data[[#This Row],[Deposit Fee]]=0,"Unpaid","Partially Paid"))</f>
        <v>Paid</v>
      </c>
      <c r="M167" s="5" t="s">
        <v>35</v>
      </c>
      <c r="N167"/>
      <c r="O167"/>
      <c r="P167"/>
      <c r="Q167"/>
      <c r="R167"/>
      <c r="S167"/>
      <c r="T167"/>
      <c r="U167"/>
      <c r="V167"/>
      <c r="W167"/>
    </row>
    <row r="168" spans="1:23" ht="15.4">
      <c r="A168" s="5">
        <v>671</v>
      </c>
      <c r="B168" s="5">
        <v>18671</v>
      </c>
      <c r="C168" s="5" t="s">
        <v>1052</v>
      </c>
      <c r="D168" s="5" t="s">
        <v>1053</v>
      </c>
      <c r="E168" s="5" t="s">
        <v>25</v>
      </c>
      <c r="F168" s="5" t="s">
        <v>1362</v>
      </c>
      <c r="G168" s="8">
        <v>45362</v>
      </c>
      <c r="H168" s="8" t="str">
        <f t="shared" si="2"/>
        <v>Mar</v>
      </c>
      <c r="I168" s="5">
        <v>3200</v>
      </c>
      <c r="J168" s="5">
        <v>3200</v>
      </c>
      <c r="K168" s="5">
        <f>student_data[[#This Row],[Total Fee]]-student_data[[#This Row],[Deposit Fee]]</f>
        <v>0</v>
      </c>
      <c r="L168" s="5" t="str">
        <f>IF(student_data[[#This Row],[Outstanding Fee]]=0,"Paid",IF(student_data[[#This Row],[Deposit Fee]]=0,"Unpaid","Partially Paid"))</f>
        <v>Paid</v>
      </c>
      <c r="M168" s="5" t="s">
        <v>38</v>
      </c>
      <c r="N168"/>
      <c r="O168"/>
      <c r="P168"/>
      <c r="Q168"/>
      <c r="R168"/>
      <c r="S168"/>
      <c r="T168"/>
      <c r="U168"/>
      <c r="V168"/>
      <c r="W168"/>
    </row>
    <row r="169" spans="1:23" ht="15.4">
      <c r="A169" s="5">
        <v>63</v>
      </c>
      <c r="B169" s="5">
        <v>18063</v>
      </c>
      <c r="C169" s="5" t="s">
        <v>130</v>
      </c>
      <c r="D169" s="5" t="s">
        <v>131</v>
      </c>
      <c r="E169" s="5" t="s">
        <v>9</v>
      </c>
      <c r="F169" s="5" t="s">
        <v>1362</v>
      </c>
      <c r="G169" s="8">
        <v>45363</v>
      </c>
      <c r="H169" s="8" t="str">
        <f t="shared" si="2"/>
        <v>Mar</v>
      </c>
      <c r="I169" s="5">
        <v>3200</v>
      </c>
      <c r="J169" s="5">
        <v>2600</v>
      </c>
      <c r="K169" s="5">
        <f>student_data[[#This Row],[Total Fee]]-student_data[[#This Row],[Deposit Fee]]</f>
        <v>600</v>
      </c>
      <c r="L169" s="5" t="str">
        <f>IF(student_data[[#This Row],[Outstanding Fee]]=0,"Paid",IF(student_data[[#This Row],[Deposit Fee]]=0,"Unpaid","Partially Paid"))</f>
        <v>Partially Paid</v>
      </c>
      <c r="M169" s="5" t="s">
        <v>19</v>
      </c>
      <c r="N169"/>
      <c r="O169"/>
      <c r="P169"/>
      <c r="Q169"/>
      <c r="R169"/>
      <c r="S169"/>
      <c r="T169"/>
      <c r="U169"/>
      <c r="V169"/>
      <c r="W169"/>
    </row>
    <row r="170" spans="1:23" ht="15.4">
      <c r="A170" s="5">
        <v>64</v>
      </c>
      <c r="B170" s="5">
        <v>18064</v>
      </c>
      <c r="C170" s="5" t="s">
        <v>132</v>
      </c>
      <c r="D170" s="5" t="s">
        <v>133</v>
      </c>
      <c r="E170" s="5" t="s">
        <v>9</v>
      </c>
      <c r="F170" s="5" t="s">
        <v>1362</v>
      </c>
      <c r="G170" s="8">
        <v>45363</v>
      </c>
      <c r="H170" s="8" t="str">
        <f t="shared" si="2"/>
        <v>Mar</v>
      </c>
      <c r="I170" s="5">
        <v>3200</v>
      </c>
      <c r="J170" s="5">
        <v>3200</v>
      </c>
      <c r="K170" s="5">
        <f>student_data[[#This Row],[Total Fee]]-student_data[[#This Row],[Deposit Fee]]</f>
        <v>0</v>
      </c>
      <c r="L170" s="5" t="str">
        <f>IF(student_data[[#This Row],[Outstanding Fee]]=0,"Paid",IF(student_data[[#This Row],[Deposit Fee]]=0,"Unpaid","Partially Paid"))</f>
        <v>Paid</v>
      </c>
      <c r="M170" s="5" t="s">
        <v>47</v>
      </c>
      <c r="N170"/>
      <c r="O170"/>
      <c r="P170"/>
      <c r="Q170"/>
      <c r="R170"/>
      <c r="S170"/>
      <c r="T170"/>
      <c r="U170"/>
      <c r="V170"/>
      <c r="W170"/>
    </row>
    <row r="171" spans="1:23" ht="15.4">
      <c r="A171" s="5">
        <v>65</v>
      </c>
      <c r="B171" s="5">
        <v>18065</v>
      </c>
      <c r="C171" s="5" t="s">
        <v>134</v>
      </c>
      <c r="D171" s="5" t="s">
        <v>135</v>
      </c>
      <c r="E171" s="5" t="s">
        <v>25</v>
      </c>
      <c r="F171" s="5" t="s">
        <v>1362</v>
      </c>
      <c r="G171" s="8">
        <v>45363</v>
      </c>
      <c r="H171" s="8" t="str">
        <f t="shared" si="2"/>
        <v>Mar</v>
      </c>
      <c r="I171" s="5">
        <v>3200</v>
      </c>
      <c r="J171" s="5">
        <v>2600</v>
      </c>
      <c r="K171" s="5">
        <f>student_data[[#This Row],[Total Fee]]-student_data[[#This Row],[Deposit Fee]]</f>
        <v>600</v>
      </c>
      <c r="L171" s="5" t="str">
        <f>IF(student_data[[#This Row],[Outstanding Fee]]=0,"Paid",IF(student_data[[#This Row],[Deposit Fee]]=0,"Unpaid","Partially Paid"))</f>
        <v>Partially Paid</v>
      </c>
      <c r="M171" s="5" t="s">
        <v>75</v>
      </c>
      <c r="N171"/>
      <c r="O171"/>
      <c r="P171"/>
      <c r="Q171"/>
      <c r="R171"/>
      <c r="S171"/>
      <c r="T171"/>
      <c r="U171"/>
      <c r="V171"/>
      <c r="W171"/>
    </row>
    <row r="172" spans="1:23" ht="15.4">
      <c r="A172" s="5">
        <v>66</v>
      </c>
      <c r="B172" s="5">
        <v>18066</v>
      </c>
      <c r="C172" s="5" t="s">
        <v>136</v>
      </c>
      <c r="D172" s="5" t="s">
        <v>137</v>
      </c>
      <c r="E172" s="5" t="s">
        <v>9</v>
      </c>
      <c r="F172" s="5" t="s">
        <v>1362</v>
      </c>
      <c r="G172" s="8">
        <v>45364</v>
      </c>
      <c r="H172" s="8" t="str">
        <f t="shared" si="2"/>
        <v>Mar</v>
      </c>
      <c r="I172" s="5">
        <v>3200</v>
      </c>
      <c r="J172" s="5">
        <v>2000</v>
      </c>
      <c r="K172" s="5">
        <f>student_data[[#This Row],[Total Fee]]-student_data[[#This Row],[Deposit Fee]]</f>
        <v>1200</v>
      </c>
      <c r="L172" s="5" t="str">
        <f>IF(student_data[[#This Row],[Outstanding Fee]]=0,"Paid",IF(student_data[[#This Row],[Deposit Fee]]=0,"Unpaid","Partially Paid"))</f>
        <v>Partially Paid</v>
      </c>
      <c r="M172" s="5" t="s">
        <v>89</v>
      </c>
      <c r="N172"/>
      <c r="O172"/>
      <c r="P172"/>
      <c r="Q172"/>
      <c r="R172"/>
      <c r="S172"/>
      <c r="T172"/>
      <c r="U172"/>
      <c r="V172"/>
      <c r="W172"/>
    </row>
    <row r="173" spans="1:23" ht="15.4">
      <c r="A173" s="5">
        <v>67</v>
      </c>
      <c r="B173" s="5">
        <v>18067</v>
      </c>
      <c r="C173" s="5" t="s">
        <v>138</v>
      </c>
      <c r="D173" s="5" t="s">
        <v>139</v>
      </c>
      <c r="E173" s="5" t="s">
        <v>9</v>
      </c>
      <c r="F173" s="5" t="s">
        <v>1362</v>
      </c>
      <c r="G173" s="8">
        <v>45364</v>
      </c>
      <c r="H173" s="8" t="str">
        <f t="shared" si="2"/>
        <v>Mar</v>
      </c>
      <c r="I173" s="5">
        <v>3200</v>
      </c>
      <c r="J173" s="5">
        <v>3200</v>
      </c>
      <c r="K173" s="5">
        <f>student_data[[#This Row],[Total Fee]]-student_data[[#This Row],[Deposit Fee]]</f>
        <v>0</v>
      </c>
      <c r="L173" s="5" t="str">
        <f>IF(student_data[[#This Row],[Outstanding Fee]]=0,"Paid",IF(student_data[[#This Row],[Deposit Fee]]=0,"Unpaid","Partially Paid"))</f>
        <v>Paid</v>
      </c>
      <c r="M173" s="5" t="s">
        <v>29</v>
      </c>
      <c r="N173"/>
      <c r="O173"/>
      <c r="P173"/>
      <c r="Q173"/>
      <c r="R173"/>
      <c r="S173"/>
      <c r="T173"/>
      <c r="U173"/>
      <c r="V173"/>
      <c r="W173"/>
    </row>
    <row r="174" spans="1:23" ht="15.4">
      <c r="A174" s="5">
        <v>617</v>
      </c>
      <c r="B174" s="5">
        <v>18617</v>
      </c>
      <c r="C174" s="5" t="s">
        <v>973</v>
      </c>
      <c r="D174" s="5" t="s">
        <v>343</v>
      </c>
      <c r="E174" s="5" t="s">
        <v>25</v>
      </c>
      <c r="F174" s="5" t="s">
        <v>1362</v>
      </c>
      <c r="G174" s="8">
        <v>45369</v>
      </c>
      <c r="H174" s="8" t="str">
        <f t="shared" si="2"/>
        <v>Mar</v>
      </c>
      <c r="I174" s="5">
        <v>3200</v>
      </c>
      <c r="J174" s="5">
        <v>2600</v>
      </c>
      <c r="K174" s="5">
        <f>student_data[[#This Row],[Total Fee]]-student_data[[#This Row],[Deposit Fee]]</f>
        <v>600</v>
      </c>
      <c r="L174" s="5" t="str">
        <f>IF(student_data[[#This Row],[Outstanding Fee]]=0,"Paid",IF(student_data[[#This Row],[Deposit Fee]]=0,"Unpaid","Partially Paid"))</f>
        <v>Partially Paid</v>
      </c>
      <c r="M174" s="5" t="s">
        <v>47</v>
      </c>
      <c r="N174"/>
      <c r="O174"/>
      <c r="P174"/>
      <c r="Q174"/>
      <c r="R174"/>
      <c r="S174"/>
      <c r="T174"/>
      <c r="U174"/>
      <c r="V174"/>
      <c r="W174"/>
    </row>
    <row r="175" spans="1:23" ht="15.4">
      <c r="A175" s="5">
        <v>618</v>
      </c>
      <c r="B175" s="5">
        <v>18618</v>
      </c>
      <c r="C175" s="5" t="s">
        <v>974</v>
      </c>
      <c r="D175" s="5" t="s">
        <v>975</v>
      </c>
      <c r="E175" s="5" t="s">
        <v>9</v>
      </c>
      <c r="F175" s="5" t="s">
        <v>1362</v>
      </c>
      <c r="G175" s="8">
        <v>45369</v>
      </c>
      <c r="H175" s="8" t="str">
        <f t="shared" si="2"/>
        <v>Mar</v>
      </c>
      <c r="I175" s="5">
        <v>3200</v>
      </c>
      <c r="J175" s="5">
        <v>2800</v>
      </c>
      <c r="K175" s="5">
        <f>student_data[[#This Row],[Total Fee]]-student_data[[#This Row],[Deposit Fee]]</f>
        <v>400</v>
      </c>
      <c r="L175" s="5" t="str">
        <f>IF(student_data[[#This Row],[Outstanding Fee]]=0,"Paid",IF(student_data[[#This Row],[Deposit Fee]]=0,"Unpaid","Partially Paid"))</f>
        <v>Partially Paid</v>
      </c>
      <c r="M175" s="5" t="s">
        <v>19</v>
      </c>
      <c r="N175"/>
      <c r="O175"/>
      <c r="P175"/>
      <c r="Q175"/>
      <c r="R175"/>
      <c r="S175"/>
      <c r="T175"/>
      <c r="U175"/>
      <c r="V175"/>
      <c r="W175"/>
    </row>
    <row r="176" spans="1:23" ht="15.4">
      <c r="A176" s="5">
        <v>619</v>
      </c>
      <c r="B176" s="5">
        <v>18619</v>
      </c>
      <c r="C176" s="5" t="s">
        <v>976</v>
      </c>
      <c r="D176" s="5" t="s">
        <v>977</v>
      </c>
      <c r="E176" s="5" t="s">
        <v>25</v>
      </c>
      <c r="F176" s="5" t="s">
        <v>1362</v>
      </c>
      <c r="G176" s="8">
        <v>45369</v>
      </c>
      <c r="H176" s="8" t="str">
        <f t="shared" si="2"/>
        <v>Mar</v>
      </c>
      <c r="I176" s="5">
        <v>3200</v>
      </c>
      <c r="J176" s="5">
        <v>2800</v>
      </c>
      <c r="K176" s="5">
        <f>student_data[[#This Row],[Total Fee]]-student_data[[#This Row],[Deposit Fee]]</f>
        <v>400</v>
      </c>
      <c r="L176" s="5" t="str">
        <f>IF(student_data[[#This Row],[Outstanding Fee]]=0,"Paid",IF(student_data[[#This Row],[Deposit Fee]]=0,"Unpaid","Partially Paid"))</f>
        <v>Partially Paid</v>
      </c>
      <c r="M176" s="5" t="s">
        <v>47</v>
      </c>
      <c r="N176"/>
      <c r="O176"/>
      <c r="P176"/>
      <c r="Q176"/>
      <c r="R176"/>
      <c r="S176"/>
      <c r="T176"/>
      <c r="U176"/>
      <c r="V176"/>
      <c r="W176"/>
    </row>
    <row r="177" spans="1:23" ht="15.4">
      <c r="A177" s="5">
        <v>620</v>
      </c>
      <c r="B177" s="5">
        <v>18620</v>
      </c>
      <c r="C177" s="5" t="s">
        <v>978</v>
      </c>
      <c r="D177" s="5" t="s">
        <v>979</v>
      </c>
      <c r="E177" s="5" t="s">
        <v>25</v>
      </c>
      <c r="F177" s="5" t="s">
        <v>1362</v>
      </c>
      <c r="G177" s="8">
        <v>45370</v>
      </c>
      <c r="H177" s="8" t="str">
        <f t="shared" si="2"/>
        <v>Mar</v>
      </c>
      <c r="I177" s="5">
        <v>3200</v>
      </c>
      <c r="J177" s="5">
        <v>2600</v>
      </c>
      <c r="K177" s="5">
        <f>student_data[[#This Row],[Total Fee]]-student_data[[#This Row],[Deposit Fee]]</f>
        <v>600</v>
      </c>
      <c r="L177" s="5" t="str">
        <f>IF(student_data[[#This Row],[Outstanding Fee]]=0,"Paid",IF(student_data[[#This Row],[Deposit Fee]]=0,"Unpaid","Partially Paid"))</f>
        <v>Partially Paid</v>
      </c>
      <c r="M177" s="5" t="s">
        <v>75</v>
      </c>
      <c r="N177"/>
      <c r="O177"/>
      <c r="P177"/>
      <c r="Q177"/>
      <c r="R177"/>
      <c r="S177"/>
      <c r="T177"/>
      <c r="U177"/>
      <c r="V177"/>
      <c r="W177"/>
    </row>
    <row r="178" spans="1:23" ht="15.4">
      <c r="A178" s="5">
        <v>621</v>
      </c>
      <c r="B178" s="5">
        <v>18621</v>
      </c>
      <c r="C178" s="5" t="s">
        <v>980</v>
      </c>
      <c r="D178" s="5" t="s">
        <v>40</v>
      </c>
      <c r="E178" s="5" t="s">
        <v>9</v>
      </c>
      <c r="F178" s="5" t="s">
        <v>1362</v>
      </c>
      <c r="G178" s="8">
        <v>45370</v>
      </c>
      <c r="H178" s="8" t="str">
        <f t="shared" si="2"/>
        <v>Mar</v>
      </c>
      <c r="I178" s="5">
        <v>3200</v>
      </c>
      <c r="J178" s="5">
        <v>3200</v>
      </c>
      <c r="K178" s="5">
        <f>student_data[[#This Row],[Total Fee]]-student_data[[#This Row],[Deposit Fee]]</f>
        <v>0</v>
      </c>
      <c r="L178" s="5" t="str">
        <f>IF(student_data[[#This Row],[Outstanding Fee]]=0,"Paid",IF(student_data[[#This Row],[Deposit Fee]]=0,"Unpaid","Partially Paid"))</f>
        <v>Paid</v>
      </c>
      <c r="M178" s="5" t="s">
        <v>89</v>
      </c>
      <c r="N178"/>
      <c r="O178"/>
      <c r="P178"/>
      <c r="Q178"/>
      <c r="R178"/>
      <c r="S178"/>
      <c r="T178"/>
      <c r="U178"/>
      <c r="V178"/>
      <c r="W178"/>
    </row>
    <row r="179" spans="1:23" ht="15.4">
      <c r="A179" s="5">
        <v>622</v>
      </c>
      <c r="B179" s="5">
        <v>18622</v>
      </c>
      <c r="C179" s="5" t="s">
        <v>981</v>
      </c>
      <c r="D179" s="5" t="s">
        <v>105</v>
      </c>
      <c r="E179" s="5" t="s">
        <v>9</v>
      </c>
      <c r="F179" s="5" t="s">
        <v>1362</v>
      </c>
      <c r="G179" s="8">
        <v>45370</v>
      </c>
      <c r="H179" s="8" t="str">
        <f t="shared" si="2"/>
        <v>Mar</v>
      </c>
      <c r="I179" s="5">
        <v>3200</v>
      </c>
      <c r="J179" s="5">
        <v>3200</v>
      </c>
      <c r="K179" s="5">
        <f>student_data[[#This Row],[Total Fee]]-student_data[[#This Row],[Deposit Fee]]</f>
        <v>0</v>
      </c>
      <c r="L179" s="5" t="str">
        <f>IF(student_data[[#This Row],[Outstanding Fee]]=0,"Paid",IF(student_data[[#This Row],[Deposit Fee]]=0,"Unpaid","Partially Paid"))</f>
        <v>Paid</v>
      </c>
      <c r="M179" s="5" t="s">
        <v>29</v>
      </c>
      <c r="N179"/>
      <c r="O179"/>
      <c r="P179"/>
      <c r="Q179"/>
      <c r="R179"/>
      <c r="S179"/>
      <c r="T179"/>
      <c r="U179"/>
      <c r="V179"/>
      <c r="W179"/>
    </row>
    <row r="180" spans="1:23" ht="15.4">
      <c r="A180" s="5">
        <v>623</v>
      </c>
      <c r="B180" s="5">
        <v>18623</v>
      </c>
      <c r="C180" s="5" t="s">
        <v>982</v>
      </c>
      <c r="D180" s="5" t="s">
        <v>772</v>
      </c>
      <c r="E180" s="5" t="s">
        <v>9</v>
      </c>
      <c r="F180" s="5" t="s">
        <v>1362</v>
      </c>
      <c r="G180" s="8">
        <v>45371</v>
      </c>
      <c r="H180" s="8" t="str">
        <f t="shared" si="2"/>
        <v>Mar</v>
      </c>
      <c r="I180" s="5">
        <v>3200</v>
      </c>
      <c r="J180" s="5">
        <v>2600</v>
      </c>
      <c r="K180" s="5">
        <f>student_data[[#This Row],[Total Fee]]-student_data[[#This Row],[Deposit Fee]]</f>
        <v>600</v>
      </c>
      <c r="L180" s="5" t="str">
        <f>IF(student_data[[#This Row],[Outstanding Fee]]=0,"Paid",IF(student_data[[#This Row],[Deposit Fee]]=0,"Unpaid","Partially Paid"))</f>
        <v>Partially Paid</v>
      </c>
      <c r="M180" s="5" t="s">
        <v>10</v>
      </c>
      <c r="N180"/>
      <c r="O180"/>
      <c r="P180"/>
      <c r="Q180"/>
      <c r="R180"/>
      <c r="S180"/>
      <c r="T180"/>
      <c r="U180"/>
      <c r="V180"/>
      <c r="W180"/>
    </row>
    <row r="181" spans="1:23" ht="15.4">
      <c r="A181" s="5">
        <v>624</v>
      </c>
      <c r="B181" s="5">
        <v>18624</v>
      </c>
      <c r="C181" s="5" t="s">
        <v>983</v>
      </c>
      <c r="D181" s="5" t="s">
        <v>984</v>
      </c>
      <c r="E181" s="5" t="s">
        <v>9</v>
      </c>
      <c r="F181" s="5" t="s">
        <v>1362</v>
      </c>
      <c r="G181" s="8">
        <v>45371</v>
      </c>
      <c r="H181" s="8" t="str">
        <f t="shared" si="2"/>
        <v>Mar</v>
      </c>
      <c r="I181" s="5">
        <v>3200</v>
      </c>
      <c r="J181" s="5">
        <v>2600</v>
      </c>
      <c r="K181" s="5">
        <f>student_data[[#This Row],[Total Fee]]-student_data[[#This Row],[Deposit Fee]]</f>
        <v>600</v>
      </c>
      <c r="L181" s="5" t="str">
        <f>IF(student_data[[#This Row],[Outstanding Fee]]=0,"Paid",IF(student_data[[#This Row],[Deposit Fee]]=0,"Unpaid","Partially Paid"))</f>
        <v>Partially Paid</v>
      </c>
      <c r="M181" s="5" t="s">
        <v>13</v>
      </c>
      <c r="N181"/>
      <c r="O181"/>
      <c r="P181"/>
      <c r="Q181"/>
      <c r="R181"/>
      <c r="S181"/>
      <c r="T181"/>
      <c r="U181"/>
      <c r="V181"/>
      <c r="W181"/>
    </row>
    <row r="182" spans="1:23" ht="15.4">
      <c r="A182" s="5">
        <v>625</v>
      </c>
      <c r="B182" s="5">
        <v>18625</v>
      </c>
      <c r="C182" s="5" t="s">
        <v>985</v>
      </c>
      <c r="D182" s="5" t="s">
        <v>986</v>
      </c>
      <c r="E182" s="5" t="s">
        <v>9</v>
      </c>
      <c r="F182" s="5" t="s">
        <v>1362</v>
      </c>
      <c r="G182" s="8">
        <v>45371</v>
      </c>
      <c r="H182" s="8" t="str">
        <f t="shared" si="2"/>
        <v>Mar</v>
      </c>
      <c r="I182" s="5">
        <v>3200</v>
      </c>
      <c r="J182" s="5">
        <v>3200</v>
      </c>
      <c r="K182" s="5">
        <f>student_data[[#This Row],[Total Fee]]-student_data[[#This Row],[Deposit Fee]]</f>
        <v>0</v>
      </c>
      <c r="L182" s="5" t="str">
        <f>IF(student_data[[#This Row],[Outstanding Fee]]=0,"Paid",IF(student_data[[#This Row],[Deposit Fee]]=0,"Unpaid","Partially Paid"))</f>
        <v>Paid</v>
      </c>
      <c r="M182" s="5" t="s">
        <v>38</v>
      </c>
      <c r="N182"/>
      <c r="O182"/>
      <c r="P182"/>
      <c r="Q182"/>
      <c r="R182"/>
      <c r="S182"/>
      <c r="T182"/>
      <c r="U182"/>
      <c r="V182"/>
      <c r="W182"/>
    </row>
    <row r="183" spans="1:23" ht="15.4">
      <c r="A183" s="5">
        <v>626</v>
      </c>
      <c r="B183" s="5">
        <v>18626</v>
      </c>
      <c r="C183" s="5" t="s">
        <v>987</v>
      </c>
      <c r="D183" s="5" t="s">
        <v>988</v>
      </c>
      <c r="E183" s="5" t="s">
        <v>25</v>
      </c>
      <c r="F183" s="5" t="s">
        <v>1362</v>
      </c>
      <c r="G183" s="8">
        <v>45372</v>
      </c>
      <c r="H183" s="8" t="str">
        <f t="shared" si="2"/>
        <v>Mar</v>
      </c>
      <c r="I183" s="5">
        <v>3200</v>
      </c>
      <c r="J183" s="5">
        <v>1500</v>
      </c>
      <c r="K183" s="5">
        <f>student_data[[#This Row],[Total Fee]]-student_data[[#This Row],[Deposit Fee]]</f>
        <v>1700</v>
      </c>
      <c r="L183" s="5" t="str">
        <f>IF(student_data[[#This Row],[Outstanding Fee]]=0,"Paid",IF(student_data[[#This Row],[Deposit Fee]]=0,"Unpaid","Partially Paid"))</f>
        <v>Partially Paid</v>
      </c>
      <c r="M183" s="5" t="s">
        <v>78</v>
      </c>
      <c r="N183"/>
      <c r="O183"/>
      <c r="P183"/>
      <c r="Q183"/>
      <c r="R183"/>
      <c r="S183"/>
      <c r="T183"/>
      <c r="U183"/>
      <c r="V183"/>
      <c r="W183"/>
    </row>
    <row r="184" spans="1:23" ht="15.4">
      <c r="A184" s="5">
        <v>627</v>
      </c>
      <c r="B184" s="5">
        <v>18627</v>
      </c>
      <c r="C184" s="5" t="s">
        <v>989</v>
      </c>
      <c r="D184" s="5" t="s">
        <v>990</v>
      </c>
      <c r="E184" s="5" t="s">
        <v>25</v>
      </c>
      <c r="F184" s="5" t="s">
        <v>1362</v>
      </c>
      <c r="G184" s="8">
        <v>45372</v>
      </c>
      <c r="H184" s="8" t="str">
        <f t="shared" si="2"/>
        <v>Mar</v>
      </c>
      <c r="I184" s="5">
        <v>3200</v>
      </c>
      <c r="J184" s="5">
        <v>3200</v>
      </c>
      <c r="K184" s="5">
        <f>student_data[[#This Row],[Total Fee]]-student_data[[#This Row],[Deposit Fee]]</f>
        <v>0</v>
      </c>
      <c r="L184" s="5" t="str">
        <f>IF(student_data[[#This Row],[Outstanding Fee]]=0,"Paid",IF(student_data[[#This Row],[Deposit Fee]]=0,"Unpaid","Partially Paid"))</f>
        <v>Paid</v>
      </c>
      <c r="M184" s="5" t="s">
        <v>16</v>
      </c>
      <c r="N184"/>
      <c r="O184"/>
      <c r="P184"/>
      <c r="Q184"/>
      <c r="R184"/>
      <c r="S184"/>
      <c r="T184"/>
      <c r="U184"/>
      <c r="V184"/>
      <c r="W184"/>
    </row>
    <row r="185" spans="1:23" ht="15.4">
      <c r="A185" s="5">
        <v>143</v>
      </c>
      <c r="B185" s="5">
        <v>18143</v>
      </c>
      <c r="C185" s="5" t="s">
        <v>256</v>
      </c>
      <c r="D185" s="5" t="s">
        <v>257</v>
      </c>
      <c r="E185" s="5" t="s">
        <v>9</v>
      </c>
      <c r="F185" s="5" t="s">
        <v>1362</v>
      </c>
      <c r="G185" s="8">
        <v>45376</v>
      </c>
      <c r="H185" s="8" t="str">
        <f t="shared" si="2"/>
        <v>Mar</v>
      </c>
      <c r="I185" s="5">
        <v>3200</v>
      </c>
      <c r="J185" s="5">
        <v>2800</v>
      </c>
      <c r="K185" s="5">
        <f>student_data[[#This Row],[Total Fee]]-student_data[[#This Row],[Deposit Fee]]</f>
        <v>400</v>
      </c>
      <c r="L185" s="5" t="str">
        <f>IF(student_data[[#This Row],[Outstanding Fee]]=0,"Paid",IF(student_data[[#This Row],[Deposit Fee]]=0,"Unpaid","Partially Paid"))</f>
        <v>Partially Paid</v>
      </c>
      <c r="M185" s="5" t="s">
        <v>19</v>
      </c>
      <c r="N185"/>
      <c r="O185"/>
      <c r="P185"/>
      <c r="Q185"/>
      <c r="R185"/>
      <c r="S185"/>
      <c r="T185"/>
      <c r="U185"/>
      <c r="V185"/>
      <c r="W185"/>
    </row>
    <row r="186" spans="1:23" ht="15.4">
      <c r="A186" s="5">
        <v>144</v>
      </c>
      <c r="B186" s="5">
        <v>18144</v>
      </c>
      <c r="C186" s="5" t="s">
        <v>258</v>
      </c>
      <c r="D186" s="5" t="s">
        <v>259</v>
      </c>
      <c r="E186" s="5" t="s">
        <v>9</v>
      </c>
      <c r="F186" s="5" t="s">
        <v>1362</v>
      </c>
      <c r="G186" s="8">
        <v>45376</v>
      </c>
      <c r="H186" s="8" t="str">
        <f t="shared" si="2"/>
        <v>Mar</v>
      </c>
      <c r="I186" s="5">
        <v>3200</v>
      </c>
      <c r="J186" s="5">
        <v>2800</v>
      </c>
      <c r="K186" s="5">
        <f>student_data[[#This Row],[Total Fee]]-student_data[[#This Row],[Deposit Fee]]</f>
        <v>400</v>
      </c>
      <c r="L186" s="5" t="str">
        <f>IF(student_data[[#This Row],[Outstanding Fee]]=0,"Paid",IF(student_data[[#This Row],[Deposit Fee]]=0,"Unpaid","Partially Paid"))</f>
        <v>Partially Paid</v>
      </c>
      <c r="M186" s="5" t="s">
        <v>47</v>
      </c>
      <c r="N186"/>
      <c r="O186"/>
      <c r="P186"/>
      <c r="Q186"/>
      <c r="R186"/>
      <c r="S186"/>
      <c r="T186"/>
      <c r="U186"/>
      <c r="V186"/>
      <c r="W186"/>
    </row>
    <row r="187" spans="1:23" ht="15.4">
      <c r="A187" s="5">
        <v>628</v>
      </c>
      <c r="B187" s="5">
        <v>18628</v>
      </c>
      <c r="C187" s="5" t="s">
        <v>991</v>
      </c>
      <c r="D187" s="5" t="s">
        <v>992</v>
      </c>
      <c r="E187" s="5" t="s">
        <v>25</v>
      </c>
      <c r="F187" s="5" t="s">
        <v>1362</v>
      </c>
      <c r="G187" s="8">
        <v>45376</v>
      </c>
      <c r="H187" s="8" t="str">
        <f t="shared" si="2"/>
        <v>Mar</v>
      </c>
      <c r="I187" s="5">
        <v>3200</v>
      </c>
      <c r="J187" s="5">
        <v>3200</v>
      </c>
      <c r="K187" s="5">
        <f>student_data[[#This Row],[Total Fee]]-student_data[[#This Row],[Deposit Fee]]</f>
        <v>0</v>
      </c>
      <c r="L187" s="5" t="str">
        <f>IF(student_data[[#This Row],[Outstanding Fee]]=0,"Paid",IF(student_data[[#This Row],[Deposit Fee]]=0,"Unpaid","Partially Paid"))</f>
        <v>Paid</v>
      </c>
      <c r="M187" s="5" t="s">
        <v>19</v>
      </c>
      <c r="N187"/>
      <c r="O187"/>
      <c r="P187"/>
      <c r="Q187"/>
      <c r="R187"/>
      <c r="S187"/>
      <c r="T187"/>
      <c r="U187"/>
      <c r="V187"/>
      <c r="W187"/>
    </row>
    <row r="188" spans="1:23" ht="15.4">
      <c r="A188" s="5">
        <v>145</v>
      </c>
      <c r="B188" s="5">
        <v>18145</v>
      </c>
      <c r="C188" s="5" t="s">
        <v>260</v>
      </c>
      <c r="D188" s="5" t="s">
        <v>261</v>
      </c>
      <c r="E188" s="5" t="s">
        <v>9</v>
      </c>
      <c r="F188" s="5" t="s">
        <v>1362</v>
      </c>
      <c r="G188" s="8">
        <v>45377</v>
      </c>
      <c r="H188" s="8" t="str">
        <f t="shared" si="2"/>
        <v>Mar</v>
      </c>
      <c r="I188" s="5">
        <v>3200</v>
      </c>
      <c r="J188" s="5">
        <v>2600</v>
      </c>
      <c r="K188" s="5">
        <f>student_data[[#This Row],[Total Fee]]-student_data[[#This Row],[Deposit Fee]]</f>
        <v>600</v>
      </c>
      <c r="L188" s="5" t="str">
        <f>IF(student_data[[#This Row],[Outstanding Fee]]=0,"Paid",IF(student_data[[#This Row],[Deposit Fee]]=0,"Unpaid","Partially Paid"))</f>
        <v>Partially Paid</v>
      </c>
      <c r="M188" s="5" t="s">
        <v>19</v>
      </c>
      <c r="N188"/>
      <c r="O188"/>
      <c r="P188"/>
      <c r="Q188"/>
      <c r="R188"/>
      <c r="S188"/>
      <c r="T188"/>
      <c r="U188"/>
      <c r="V188"/>
      <c r="W188"/>
    </row>
    <row r="189" spans="1:23" ht="15.4">
      <c r="A189" s="5">
        <v>146</v>
      </c>
      <c r="B189" s="5">
        <v>18146</v>
      </c>
      <c r="C189" s="5" t="s">
        <v>262</v>
      </c>
      <c r="D189" s="5" t="s">
        <v>263</v>
      </c>
      <c r="E189" s="5" t="s">
        <v>9</v>
      </c>
      <c r="F189" s="5" t="s">
        <v>1362</v>
      </c>
      <c r="G189" s="8">
        <v>45377</v>
      </c>
      <c r="H189" s="8" t="str">
        <f t="shared" si="2"/>
        <v>Mar</v>
      </c>
      <c r="I189" s="5">
        <v>3200</v>
      </c>
      <c r="J189" s="5">
        <v>3200</v>
      </c>
      <c r="K189" s="5">
        <f>student_data[[#This Row],[Total Fee]]-student_data[[#This Row],[Deposit Fee]]</f>
        <v>0</v>
      </c>
      <c r="L189" s="5" t="str">
        <f>IF(student_data[[#This Row],[Outstanding Fee]]=0,"Paid",IF(student_data[[#This Row],[Deposit Fee]]=0,"Unpaid","Partially Paid"))</f>
        <v>Paid</v>
      </c>
      <c r="M189" s="5" t="s">
        <v>47</v>
      </c>
      <c r="N189"/>
      <c r="O189"/>
      <c r="P189"/>
      <c r="Q189"/>
      <c r="R189"/>
      <c r="S189"/>
      <c r="T189"/>
      <c r="U189"/>
      <c r="V189"/>
      <c r="W189"/>
    </row>
    <row r="190" spans="1:23" ht="15.4">
      <c r="A190" s="5">
        <v>147</v>
      </c>
      <c r="B190" s="5">
        <v>18147</v>
      </c>
      <c r="C190" s="5" t="s">
        <v>264</v>
      </c>
      <c r="D190" s="5" t="s">
        <v>105</v>
      </c>
      <c r="E190" s="5" t="s">
        <v>9</v>
      </c>
      <c r="F190" s="5" t="s">
        <v>1362</v>
      </c>
      <c r="G190" s="8">
        <v>45377</v>
      </c>
      <c r="H190" s="8" t="str">
        <f t="shared" si="2"/>
        <v>Mar</v>
      </c>
      <c r="I190" s="5">
        <v>3200</v>
      </c>
      <c r="J190" s="5">
        <v>2600</v>
      </c>
      <c r="K190" s="5">
        <f>student_data[[#This Row],[Total Fee]]-student_data[[#This Row],[Deposit Fee]]</f>
        <v>600</v>
      </c>
      <c r="L190" s="5" t="str">
        <f>IF(student_data[[#This Row],[Outstanding Fee]]=0,"Paid",IF(student_data[[#This Row],[Deposit Fee]]=0,"Unpaid","Partially Paid"))</f>
        <v>Partially Paid</v>
      </c>
      <c r="M190" s="5" t="s">
        <v>75</v>
      </c>
      <c r="N190"/>
      <c r="O190"/>
      <c r="P190"/>
      <c r="Q190"/>
      <c r="R190"/>
      <c r="S190"/>
      <c r="T190"/>
      <c r="U190"/>
      <c r="V190"/>
      <c r="W190"/>
    </row>
    <row r="191" spans="1:23" ht="15.4">
      <c r="A191" s="5">
        <v>148</v>
      </c>
      <c r="B191" s="5">
        <v>18148</v>
      </c>
      <c r="C191" s="5" t="s">
        <v>265</v>
      </c>
      <c r="D191" s="5" t="s">
        <v>266</v>
      </c>
      <c r="E191" s="5" t="s">
        <v>25</v>
      </c>
      <c r="F191" s="5" t="s">
        <v>1362</v>
      </c>
      <c r="G191" s="8">
        <v>45378</v>
      </c>
      <c r="H191" s="8" t="str">
        <f t="shared" si="2"/>
        <v>Mar</v>
      </c>
      <c r="I191" s="5">
        <v>3200</v>
      </c>
      <c r="J191" s="5">
        <v>3200</v>
      </c>
      <c r="K191" s="5">
        <f>student_data[[#This Row],[Total Fee]]-student_data[[#This Row],[Deposit Fee]]</f>
        <v>0</v>
      </c>
      <c r="L191" s="5" t="str">
        <f>IF(student_data[[#This Row],[Outstanding Fee]]=0,"Paid",IF(student_data[[#This Row],[Deposit Fee]]=0,"Unpaid","Partially Paid"))</f>
        <v>Paid</v>
      </c>
      <c r="M191" s="5" t="s">
        <v>89</v>
      </c>
      <c r="N191"/>
      <c r="O191"/>
      <c r="P191"/>
      <c r="Q191"/>
      <c r="R191"/>
      <c r="S191"/>
      <c r="T191"/>
      <c r="U191"/>
      <c r="V191"/>
      <c r="W191"/>
    </row>
    <row r="192" spans="1:23" ht="15.4">
      <c r="A192" s="5">
        <v>149</v>
      </c>
      <c r="B192" s="5">
        <v>18149</v>
      </c>
      <c r="C192" s="5" t="s">
        <v>267</v>
      </c>
      <c r="D192" s="5" t="s">
        <v>193</v>
      </c>
      <c r="E192" s="5" t="s">
        <v>25</v>
      </c>
      <c r="F192" s="5" t="s">
        <v>1362</v>
      </c>
      <c r="G192" s="8">
        <v>45378</v>
      </c>
      <c r="H192" s="8" t="str">
        <f t="shared" si="2"/>
        <v>Mar</v>
      </c>
      <c r="I192" s="5">
        <v>3200</v>
      </c>
      <c r="J192" s="5">
        <v>2600</v>
      </c>
      <c r="K192" s="5">
        <f>student_data[[#This Row],[Total Fee]]-student_data[[#This Row],[Deposit Fee]]</f>
        <v>600</v>
      </c>
      <c r="L192" s="5" t="str">
        <f>IF(student_data[[#This Row],[Outstanding Fee]]=0,"Paid",IF(student_data[[#This Row],[Deposit Fee]]=0,"Unpaid","Partially Paid"))</f>
        <v>Partially Paid</v>
      </c>
      <c r="M192" s="5" t="s">
        <v>29</v>
      </c>
      <c r="N192"/>
      <c r="O192"/>
      <c r="P192"/>
      <c r="Q192"/>
      <c r="R192"/>
      <c r="S192"/>
      <c r="T192"/>
      <c r="U192"/>
      <c r="V192"/>
      <c r="W192"/>
    </row>
    <row r="193" spans="1:23" ht="15.4">
      <c r="A193" s="5">
        <v>150</v>
      </c>
      <c r="B193" s="5">
        <v>18150</v>
      </c>
      <c r="C193" s="5" t="s">
        <v>268</v>
      </c>
      <c r="D193" s="5" t="s">
        <v>269</v>
      </c>
      <c r="E193" s="5" t="s">
        <v>25</v>
      </c>
      <c r="F193" s="5" t="s">
        <v>1362</v>
      </c>
      <c r="G193" s="8">
        <v>45378</v>
      </c>
      <c r="H193" s="8" t="str">
        <f t="shared" si="2"/>
        <v>Mar</v>
      </c>
      <c r="I193" s="5">
        <v>3200</v>
      </c>
      <c r="J193" s="5">
        <v>3200</v>
      </c>
      <c r="K193" s="5">
        <f>student_data[[#This Row],[Total Fee]]-student_data[[#This Row],[Deposit Fee]]</f>
        <v>0</v>
      </c>
      <c r="L193" s="5" t="str">
        <f>IF(student_data[[#This Row],[Outstanding Fee]]=0,"Paid",IF(student_data[[#This Row],[Deposit Fee]]=0,"Unpaid","Partially Paid"))</f>
        <v>Paid</v>
      </c>
      <c r="M193" s="5" t="s">
        <v>75</v>
      </c>
      <c r="N193"/>
      <c r="O193"/>
      <c r="P193"/>
      <c r="Q193"/>
      <c r="R193"/>
      <c r="S193"/>
      <c r="T193"/>
      <c r="U193"/>
      <c r="V193"/>
      <c r="W193"/>
    </row>
    <row r="194" spans="1:23" ht="15.4">
      <c r="A194" s="5">
        <v>151</v>
      </c>
      <c r="B194" s="5">
        <v>18151</v>
      </c>
      <c r="C194" s="5" t="s">
        <v>270</v>
      </c>
      <c r="D194" s="5" t="s">
        <v>271</v>
      </c>
      <c r="E194" s="5" t="s">
        <v>9</v>
      </c>
      <c r="F194" s="5" t="s">
        <v>1362</v>
      </c>
      <c r="G194" s="8">
        <v>45379</v>
      </c>
      <c r="H194" s="8" t="str">
        <f t="shared" ref="H194:H257" si="3">TEXT(G194,"mmm")</f>
        <v>Mar</v>
      </c>
      <c r="I194" s="5">
        <v>3200</v>
      </c>
      <c r="J194" s="5">
        <v>2600</v>
      </c>
      <c r="K194" s="5">
        <f>student_data[[#This Row],[Total Fee]]-student_data[[#This Row],[Deposit Fee]]</f>
        <v>600</v>
      </c>
      <c r="L194" s="5" t="str">
        <f>IF(student_data[[#This Row],[Outstanding Fee]]=0,"Paid",IF(student_data[[#This Row],[Deposit Fee]]=0,"Unpaid","Partially Paid"))</f>
        <v>Partially Paid</v>
      </c>
      <c r="M194" s="5" t="s">
        <v>75</v>
      </c>
      <c r="N194"/>
      <c r="O194"/>
      <c r="P194"/>
      <c r="Q194"/>
      <c r="R194"/>
      <c r="S194"/>
      <c r="T194"/>
      <c r="U194"/>
      <c r="V194"/>
      <c r="W194"/>
    </row>
    <row r="195" spans="1:23" ht="15.4">
      <c r="A195" s="5">
        <v>152</v>
      </c>
      <c r="B195" s="5">
        <v>18152</v>
      </c>
      <c r="C195" s="5" t="s">
        <v>272</v>
      </c>
      <c r="D195" s="5" t="s">
        <v>273</v>
      </c>
      <c r="E195" s="5" t="s">
        <v>9</v>
      </c>
      <c r="F195" s="5" t="s">
        <v>1362</v>
      </c>
      <c r="G195" s="8">
        <v>45379</v>
      </c>
      <c r="H195" s="8" t="str">
        <f t="shared" si="3"/>
        <v>Mar</v>
      </c>
      <c r="I195" s="5">
        <v>3200</v>
      </c>
      <c r="J195" s="5">
        <v>3200</v>
      </c>
      <c r="K195" s="5">
        <f>student_data[[#This Row],[Total Fee]]-student_data[[#This Row],[Deposit Fee]]</f>
        <v>0</v>
      </c>
      <c r="L195" s="5" t="str">
        <f>IF(student_data[[#This Row],[Outstanding Fee]]=0,"Paid",IF(student_data[[#This Row],[Deposit Fee]]=0,"Unpaid","Partially Paid"))</f>
        <v>Paid</v>
      </c>
      <c r="M195" s="5" t="s">
        <v>19</v>
      </c>
      <c r="N195"/>
      <c r="O195"/>
      <c r="P195"/>
      <c r="Q195"/>
      <c r="R195"/>
      <c r="S195"/>
      <c r="T195"/>
      <c r="U195"/>
      <c r="V195"/>
      <c r="W195"/>
    </row>
    <row r="196" spans="1:23" ht="15.4">
      <c r="A196" s="5">
        <v>153</v>
      </c>
      <c r="B196" s="5">
        <v>18153</v>
      </c>
      <c r="C196" s="5" t="s">
        <v>233</v>
      </c>
      <c r="D196" s="5" t="s">
        <v>184</v>
      </c>
      <c r="E196" s="5" t="s">
        <v>9</v>
      </c>
      <c r="F196" s="5" t="s">
        <v>1362</v>
      </c>
      <c r="G196" s="8">
        <v>45379</v>
      </c>
      <c r="H196" s="8" t="str">
        <f t="shared" si="3"/>
        <v>Mar</v>
      </c>
      <c r="I196" s="5">
        <v>3200</v>
      </c>
      <c r="J196" s="5">
        <v>3200</v>
      </c>
      <c r="K196" s="5">
        <f>student_data[[#This Row],[Total Fee]]-student_data[[#This Row],[Deposit Fee]]</f>
        <v>0</v>
      </c>
      <c r="L196" s="5" t="str">
        <f>IF(student_data[[#This Row],[Outstanding Fee]]=0,"Paid",IF(student_data[[#This Row],[Deposit Fee]]=0,"Unpaid","Partially Paid"))</f>
        <v>Paid</v>
      </c>
      <c r="M196" s="5" t="s">
        <v>47</v>
      </c>
      <c r="N196"/>
      <c r="O196"/>
      <c r="P196"/>
      <c r="Q196"/>
      <c r="R196"/>
      <c r="S196"/>
      <c r="T196"/>
      <c r="U196"/>
      <c r="V196"/>
      <c r="W196"/>
    </row>
    <row r="197" spans="1:23" ht="15.4">
      <c r="A197" s="5">
        <v>83</v>
      </c>
      <c r="B197" s="5">
        <v>18083</v>
      </c>
      <c r="C197" s="5" t="s">
        <v>169</v>
      </c>
      <c r="D197" s="5" t="s">
        <v>170</v>
      </c>
      <c r="E197" s="5" t="s">
        <v>9</v>
      </c>
      <c r="F197" s="5" t="s">
        <v>1362</v>
      </c>
      <c r="G197" s="8">
        <v>45380</v>
      </c>
      <c r="H197" s="8" t="str">
        <f t="shared" si="3"/>
        <v>Mar</v>
      </c>
      <c r="I197" s="5">
        <v>3200</v>
      </c>
      <c r="J197" s="5">
        <v>2800</v>
      </c>
      <c r="K197" s="5">
        <f>student_data[[#This Row],[Total Fee]]-student_data[[#This Row],[Deposit Fee]]</f>
        <v>400</v>
      </c>
      <c r="L197" s="5" t="str">
        <f>IF(student_data[[#This Row],[Outstanding Fee]]=0,"Paid",IF(student_data[[#This Row],[Deposit Fee]]=0,"Unpaid","Partially Paid"))</f>
        <v>Partially Paid</v>
      </c>
      <c r="M197" s="5" t="s">
        <v>19</v>
      </c>
      <c r="N197"/>
      <c r="O197"/>
      <c r="P197"/>
      <c r="Q197"/>
      <c r="R197"/>
      <c r="S197"/>
      <c r="T197"/>
      <c r="U197"/>
      <c r="V197"/>
      <c r="W197"/>
    </row>
    <row r="198" spans="1:23" ht="15.4">
      <c r="A198" s="5">
        <v>84</v>
      </c>
      <c r="B198" s="5">
        <v>18084</v>
      </c>
      <c r="C198" s="5" t="s">
        <v>171</v>
      </c>
      <c r="D198" s="5" t="s">
        <v>172</v>
      </c>
      <c r="E198" s="5" t="s">
        <v>25</v>
      </c>
      <c r="F198" s="5" t="s">
        <v>1362</v>
      </c>
      <c r="G198" s="8">
        <v>45380</v>
      </c>
      <c r="H198" s="8" t="str">
        <f t="shared" si="3"/>
        <v>Mar</v>
      </c>
      <c r="I198" s="5">
        <v>3200</v>
      </c>
      <c r="J198" s="5">
        <v>2800</v>
      </c>
      <c r="K198" s="5">
        <f>student_data[[#This Row],[Total Fee]]-student_data[[#This Row],[Deposit Fee]]</f>
        <v>400</v>
      </c>
      <c r="L198" s="5" t="str">
        <f>IF(student_data[[#This Row],[Outstanding Fee]]=0,"Paid",IF(student_data[[#This Row],[Deposit Fee]]=0,"Unpaid","Partially Paid"))</f>
        <v>Partially Paid</v>
      </c>
      <c r="M198" s="5" t="s">
        <v>47</v>
      </c>
      <c r="N198"/>
      <c r="O198"/>
      <c r="P198"/>
      <c r="Q198"/>
      <c r="R198"/>
      <c r="S198"/>
      <c r="T198"/>
      <c r="U198"/>
      <c r="V198"/>
      <c r="W198"/>
    </row>
    <row r="199" spans="1:23" ht="15.4">
      <c r="A199" s="5">
        <v>85</v>
      </c>
      <c r="B199" s="5">
        <v>18085</v>
      </c>
      <c r="C199" s="5" t="s">
        <v>173</v>
      </c>
      <c r="D199" s="5" t="s">
        <v>174</v>
      </c>
      <c r="E199" s="5" t="s">
        <v>9</v>
      </c>
      <c r="F199" s="5" t="s">
        <v>1362</v>
      </c>
      <c r="G199" s="8">
        <v>45380</v>
      </c>
      <c r="H199" s="8" t="str">
        <f t="shared" si="3"/>
        <v>Mar</v>
      </c>
      <c r="I199" s="5">
        <v>3200</v>
      </c>
      <c r="J199" s="5">
        <v>3200</v>
      </c>
      <c r="K199" s="5">
        <f>student_data[[#This Row],[Total Fee]]-student_data[[#This Row],[Deposit Fee]]</f>
        <v>0</v>
      </c>
      <c r="L199" s="5" t="str">
        <f>IF(student_data[[#This Row],[Outstanding Fee]]=0,"Paid",IF(student_data[[#This Row],[Deposit Fee]]=0,"Unpaid","Partially Paid"))</f>
        <v>Paid</v>
      </c>
      <c r="M199" s="5" t="s">
        <v>75</v>
      </c>
      <c r="N199"/>
      <c r="O199"/>
      <c r="P199"/>
      <c r="Q199"/>
      <c r="R199"/>
      <c r="S199"/>
      <c r="T199"/>
      <c r="U199"/>
      <c r="V199"/>
      <c r="W199"/>
    </row>
    <row r="200" spans="1:23" ht="15.4">
      <c r="A200" s="5">
        <v>86</v>
      </c>
      <c r="B200" s="5">
        <v>18086</v>
      </c>
      <c r="C200" s="5" t="s">
        <v>175</v>
      </c>
      <c r="D200" s="5" t="s">
        <v>176</v>
      </c>
      <c r="E200" s="5" t="s">
        <v>9</v>
      </c>
      <c r="F200" s="5" t="s">
        <v>1362</v>
      </c>
      <c r="G200" s="8">
        <v>45381</v>
      </c>
      <c r="H200" s="8" t="str">
        <f t="shared" si="3"/>
        <v>Mar</v>
      </c>
      <c r="I200" s="5">
        <v>3200</v>
      </c>
      <c r="J200" s="5">
        <v>3200</v>
      </c>
      <c r="K200" s="5">
        <f>student_data[[#This Row],[Total Fee]]-student_data[[#This Row],[Deposit Fee]]</f>
        <v>0</v>
      </c>
      <c r="L200" s="5" t="str">
        <f>IF(student_data[[#This Row],[Outstanding Fee]]=0,"Paid",IF(student_data[[#This Row],[Deposit Fee]]=0,"Unpaid","Partially Paid"))</f>
        <v>Paid</v>
      </c>
      <c r="M200" s="5" t="s">
        <v>89</v>
      </c>
      <c r="N200"/>
      <c r="O200"/>
      <c r="P200"/>
      <c r="Q200"/>
      <c r="R200"/>
      <c r="S200"/>
      <c r="T200"/>
      <c r="U200"/>
      <c r="V200"/>
      <c r="W200"/>
    </row>
    <row r="201" spans="1:23" ht="15.4">
      <c r="A201" s="5">
        <v>87</v>
      </c>
      <c r="B201" s="5">
        <v>18087</v>
      </c>
      <c r="C201" s="5" t="s">
        <v>177</v>
      </c>
      <c r="D201" s="5" t="s">
        <v>178</v>
      </c>
      <c r="E201" s="5" t="s">
        <v>25</v>
      </c>
      <c r="F201" s="5" t="s">
        <v>1362</v>
      </c>
      <c r="G201" s="8">
        <v>45381</v>
      </c>
      <c r="H201" s="8" t="str">
        <f t="shared" si="3"/>
        <v>Mar</v>
      </c>
      <c r="I201" s="5">
        <v>3200</v>
      </c>
      <c r="J201" s="5">
        <v>2600</v>
      </c>
      <c r="K201" s="5">
        <f>student_data[[#This Row],[Total Fee]]-student_data[[#This Row],[Deposit Fee]]</f>
        <v>600</v>
      </c>
      <c r="L201" s="5" t="str">
        <f>IF(student_data[[#This Row],[Outstanding Fee]]=0,"Paid",IF(student_data[[#This Row],[Deposit Fee]]=0,"Unpaid","Partially Paid"))</f>
        <v>Partially Paid</v>
      </c>
      <c r="M201" s="5" t="s">
        <v>29</v>
      </c>
      <c r="N201"/>
      <c r="O201"/>
      <c r="P201"/>
      <c r="Q201"/>
      <c r="R201"/>
      <c r="S201"/>
      <c r="T201"/>
      <c r="U201"/>
      <c r="V201"/>
      <c r="W201"/>
    </row>
    <row r="202" spans="1:23" ht="15.4">
      <c r="A202" s="5">
        <v>88</v>
      </c>
      <c r="B202" s="5">
        <v>18088</v>
      </c>
      <c r="C202" s="5" t="s">
        <v>179</v>
      </c>
      <c r="D202" s="5" t="s">
        <v>180</v>
      </c>
      <c r="E202" s="5" t="s">
        <v>25</v>
      </c>
      <c r="F202" s="5" t="s">
        <v>1362</v>
      </c>
      <c r="G202" s="8">
        <v>45381</v>
      </c>
      <c r="H202" s="8" t="str">
        <f t="shared" si="3"/>
        <v>Mar</v>
      </c>
      <c r="I202" s="5">
        <v>3200</v>
      </c>
      <c r="J202" s="5">
        <v>2600</v>
      </c>
      <c r="K202" s="5">
        <f>student_data[[#This Row],[Total Fee]]-student_data[[#This Row],[Deposit Fee]]</f>
        <v>600</v>
      </c>
      <c r="L202" s="5" t="str">
        <f>IF(student_data[[#This Row],[Outstanding Fee]]=0,"Paid",IF(student_data[[#This Row],[Deposit Fee]]=0,"Unpaid","Partially Paid"))</f>
        <v>Partially Paid</v>
      </c>
      <c r="M202" s="5" t="s">
        <v>75</v>
      </c>
      <c r="N202"/>
      <c r="O202"/>
      <c r="P202"/>
      <c r="Q202"/>
      <c r="R202"/>
      <c r="S202"/>
      <c r="T202"/>
      <c r="U202"/>
      <c r="V202"/>
      <c r="W202"/>
    </row>
    <row r="203" spans="1:23" ht="15.4">
      <c r="A203" s="5">
        <v>672</v>
      </c>
      <c r="B203" s="5">
        <v>18672</v>
      </c>
      <c r="C203" s="5" t="s">
        <v>1054</v>
      </c>
      <c r="D203" s="5" t="s">
        <v>1055</v>
      </c>
      <c r="E203" s="5" t="s">
        <v>9</v>
      </c>
      <c r="F203" s="5" t="s">
        <v>1362</v>
      </c>
      <c r="G203" s="8">
        <v>45383</v>
      </c>
      <c r="H203" s="8" t="str">
        <f t="shared" si="3"/>
        <v>Apr</v>
      </c>
      <c r="I203" s="5">
        <v>3200</v>
      </c>
      <c r="J203" s="5">
        <v>3200</v>
      </c>
      <c r="K203" s="5">
        <f>student_data[[#This Row],[Total Fee]]-student_data[[#This Row],[Deposit Fee]]</f>
        <v>0</v>
      </c>
      <c r="L203" s="5" t="str">
        <f>IF(student_data[[#This Row],[Outstanding Fee]]=0,"Paid",IF(student_data[[#This Row],[Deposit Fee]]=0,"Unpaid","Partially Paid"))</f>
        <v>Paid</v>
      </c>
      <c r="M203" s="5" t="s">
        <v>22</v>
      </c>
      <c r="N203"/>
      <c r="O203"/>
      <c r="P203"/>
      <c r="Q203"/>
      <c r="R203"/>
      <c r="S203"/>
      <c r="T203"/>
      <c r="U203"/>
      <c r="V203"/>
      <c r="W203"/>
    </row>
    <row r="204" spans="1:23" ht="15.4">
      <c r="A204" s="5">
        <v>882</v>
      </c>
      <c r="B204" s="5">
        <v>18882</v>
      </c>
      <c r="C204" s="5" t="s">
        <v>1315</v>
      </c>
      <c r="D204" s="5" t="s">
        <v>196</v>
      </c>
      <c r="E204" s="5" t="s">
        <v>9</v>
      </c>
      <c r="F204" s="5" t="s">
        <v>1362</v>
      </c>
      <c r="G204" s="8">
        <v>45383</v>
      </c>
      <c r="H204" s="8" t="str">
        <f t="shared" si="3"/>
        <v>Apr</v>
      </c>
      <c r="I204" s="5">
        <v>3200</v>
      </c>
      <c r="J204" s="5">
        <v>3200</v>
      </c>
      <c r="K204" s="5">
        <f>student_data[[#This Row],[Total Fee]]-student_data[[#This Row],[Deposit Fee]]</f>
        <v>0</v>
      </c>
      <c r="L204" s="5" t="str">
        <f>IF(student_data[[#This Row],[Outstanding Fee]]=0,"Paid",IF(student_data[[#This Row],[Deposit Fee]]=0,"Unpaid","Partially Paid"))</f>
        <v>Paid</v>
      </c>
      <c r="M204" s="5" t="s">
        <v>78</v>
      </c>
      <c r="N204"/>
      <c r="O204"/>
      <c r="P204"/>
      <c r="Q204"/>
      <c r="R204"/>
      <c r="S204"/>
      <c r="T204"/>
      <c r="U204"/>
      <c r="V204"/>
      <c r="W204"/>
    </row>
    <row r="205" spans="1:23" ht="15.4">
      <c r="A205" s="5">
        <v>883</v>
      </c>
      <c r="B205" s="5">
        <v>18883</v>
      </c>
      <c r="C205" s="5" t="s">
        <v>1316</v>
      </c>
      <c r="D205" s="5" t="s">
        <v>457</v>
      </c>
      <c r="E205" s="5" t="s">
        <v>9</v>
      </c>
      <c r="F205" s="5" t="s">
        <v>1362</v>
      </c>
      <c r="G205" s="8">
        <v>45383</v>
      </c>
      <c r="H205" s="8" t="str">
        <f t="shared" si="3"/>
        <v>Apr</v>
      </c>
      <c r="I205" s="5">
        <v>3200</v>
      </c>
      <c r="J205" s="5">
        <v>2600</v>
      </c>
      <c r="K205" s="5">
        <f>student_data[[#This Row],[Total Fee]]-student_data[[#This Row],[Deposit Fee]]</f>
        <v>600</v>
      </c>
      <c r="L205" s="5" t="str">
        <f>IF(student_data[[#This Row],[Outstanding Fee]]=0,"Paid",IF(student_data[[#This Row],[Deposit Fee]]=0,"Unpaid","Partially Paid"))</f>
        <v>Partially Paid</v>
      </c>
      <c r="M205" s="5" t="s">
        <v>16</v>
      </c>
      <c r="N205"/>
      <c r="O205"/>
      <c r="P205"/>
      <c r="Q205"/>
      <c r="R205"/>
      <c r="S205"/>
      <c r="T205"/>
      <c r="U205"/>
      <c r="V205"/>
      <c r="W205"/>
    </row>
    <row r="206" spans="1:23" ht="15.4">
      <c r="A206" s="5">
        <v>884</v>
      </c>
      <c r="B206" s="5">
        <v>18884</v>
      </c>
      <c r="C206" s="5" t="s">
        <v>1317</v>
      </c>
      <c r="D206" s="5" t="s">
        <v>1318</v>
      </c>
      <c r="E206" s="5" t="s">
        <v>9</v>
      </c>
      <c r="F206" s="5" t="s">
        <v>1362</v>
      </c>
      <c r="G206" s="8">
        <v>45384</v>
      </c>
      <c r="H206" s="8" t="str">
        <f t="shared" si="3"/>
        <v>Apr</v>
      </c>
      <c r="I206" s="5">
        <v>3200</v>
      </c>
      <c r="J206" s="5">
        <v>2600</v>
      </c>
      <c r="K206" s="5">
        <f>student_data[[#This Row],[Total Fee]]-student_data[[#This Row],[Deposit Fee]]</f>
        <v>600</v>
      </c>
      <c r="L206" s="5" t="str">
        <f>IF(student_data[[#This Row],[Outstanding Fee]]=0,"Paid",IF(student_data[[#This Row],[Deposit Fee]]=0,"Unpaid","Partially Paid"))</f>
        <v>Partially Paid</v>
      </c>
      <c r="M206" s="5" t="s">
        <v>19</v>
      </c>
      <c r="N206"/>
      <c r="O206"/>
      <c r="P206"/>
      <c r="Q206"/>
      <c r="R206"/>
      <c r="S206"/>
      <c r="T206"/>
      <c r="U206"/>
      <c r="V206"/>
      <c r="W206"/>
    </row>
    <row r="207" spans="1:23" ht="15.4">
      <c r="A207" s="5">
        <v>885</v>
      </c>
      <c r="B207" s="5">
        <v>18885</v>
      </c>
      <c r="C207" s="5" t="s">
        <v>1319</v>
      </c>
      <c r="D207" s="5" t="s">
        <v>432</v>
      </c>
      <c r="E207" s="5" t="s">
        <v>25</v>
      </c>
      <c r="F207" s="5" t="s">
        <v>1362</v>
      </c>
      <c r="G207" s="8">
        <v>45384</v>
      </c>
      <c r="H207" s="8" t="str">
        <f t="shared" si="3"/>
        <v>Apr</v>
      </c>
      <c r="I207" s="5">
        <v>3200</v>
      </c>
      <c r="J207" s="5">
        <v>3200</v>
      </c>
      <c r="K207" s="5">
        <f>student_data[[#This Row],[Total Fee]]-student_data[[#This Row],[Deposit Fee]]</f>
        <v>0</v>
      </c>
      <c r="L207" s="5" t="str">
        <f>IF(student_data[[#This Row],[Outstanding Fee]]=0,"Paid",IF(student_data[[#This Row],[Deposit Fee]]=0,"Unpaid","Partially Paid"))</f>
        <v>Paid</v>
      </c>
      <c r="M207" s="5" t="s">
        <v>47</v>
      </c>
      <c r="N207"/>
      <c r="O207"/>
      <c r="P207"/>
      <c r="Q207"/>
      <c r="R207"/>
      <c r="S207"/>
      <c r="T207"/>
      <c r="U207"/>
      <c r="V207"/>
      <c r="W207"/>
    </row>
    <row r="208" spans="1:23" ht="15.4">
      <c r="A208" s="5">
        <v>886</v>
      </c>
      <c r="B208" s="5">
        <v>18886</v>
      </c>
      <c r="C208" s="5" t="s">
        <v>1320</v>
      </c>
      <c r="D208" s="5" t="s">
        <v>1321</v>
      </c>
      <c r="E208" s="5" t="s">
        <v>25</v>
      </c>
      <c r="F208" s="5" t="s">
        <v>1362</v>
      </c>
      <c r="G208" s="8">
        <v>45384</v>
      </c>
      <c r="H208" s="8" t="str">
        <f t="shared" si="3"/>
        <v>Apr</v>
      </c>
      <c r="I208" s="5">
        <v>3200</v>
      </c>
      <c r="J208" s="5">
        <v>3200</v>
      </c>
      <c r="K208" s="5">
        <f>student_data[[#This Row],[Total Fee]]-student_data[[#This Row],[Deposit Fee]]</f>
        <v>0</v>
      </c>
      <c r="L208" s="5" t="str">
        <f>IF(student_data[[#This Row],[Outstanding Fee]]=0,"Paid",IF(student_data[[#This Row],[Deposit Fee]]=0,"Unpaid","Partially Paid"))</f>
        <v>Paid</v>
      </c>
      <c r="M208" s="5" t="s">
        <v>75</v>
      </c>
      <c r="N208"/>
      <c r="O208"/>
      <c r="P208"/>
      <c r="Q208"/>
      <c r="R208"/>
      <c r="S208"/>
      <c r="T208"/>
      <c r="U208"/>
      <c r="V208"/>
      <c r="W208"/>
    </row>
    <row r="209" spans="1:23" ht="15.4">
      <c r="A209" s="5">
        <v>887</v>
      </c>
      <c r="B209" s="5">
        <v>18887</v>
      </c>
      <c r="C209" s="5" t="s">
        <v>501</v>
      </c>
      <c r="D209" s="5" t="s">
        <v>287</v>
      </c>
      <c r="E209" s="5" t="s">
        <v>9</v>
      </c>
      <c r="F209" s="5" t="s">
        <v>1362</v>
      </c>
      <c r="G209" s="8">
        <v>45385</v>
      </c>
      <c r="H209" s="8" t="str">
        <f t="shared" si="3"/>
        <v>Apr</v>
      </c>
      <c r="I209" s="5">
        <v>3200</v>
      </c>
      <c r="J209" s="5">
        <v>2800</v>
      </c>
      <c r="K209" s="5">
        <f>student_data[[#This Row],[Total Fee]]-student_data[[#This Row],[Deposit Fee]]</f>
        <v>400</v>
      </c>
      <c r="L209" s="5" t="str">
        <f>IF(student_data[[#This Row],[Outstanding Fee]]=0,"Paid",IF(student_data[[#This Row],[Deposit Fee]]=0,"Unpaid","Partially Paid"))</f>
        <v>Partially Paid</v>
      </c>
      <c r="M209" s="5" t="s">
        <v>89</v>
      </c>
      <c r="N209"/>
      <c r="O209"/>
      <c r="P209"/>
      <c r="Q209"/>
      <c r="R209"/>
      <c r="S209"/>
      <c r="T209"/>
      <c r="U209"/>
      <c r="V209"/>
      <c r="W209"/>
    </row>
    <row r="210" spans="1:23" ht="15.4">
      <c r="A210" s="5">
        <v>888</v>
      </c>
      <c r="B210" s="5">
        <v>18888</v>
      </c>
      <c r="C210" s="5" t="s">
        <v>1322</v>
      </c>
      <c r="D210" s="5" t="s">
        <v>594</v>
      </c>
      <c r="E210" s="5" t="s">
        <v>25</v>
      </c>
      <c r="F210" s="5" t="s">
        <v>1362</v>
      </c>
      <c r="G210" s="8">
        <v>45385</v>
      </c>
      <c r="H210" s="8" t="str">
        <f t="shared" si="3"/>
        <v>Apr</v>
      </c>
      <c r="I210" s="5">
        <v>3200</v>
      </c>
      <c r="J210" s="5">
        <v>3200</v>
      </c>
      <c r="K210" s="5">
        <f>student_data[[#This Row],[Total Fee]]-student_data[[#This Row],[Deposit Fee]]</f>
        <v>0</v>
      </c>
      <c r="L210" s="5" t="str">
        <f>IF(student_data[[#This Row],[Outstanding Fee]]=0,"Paid",IF(student_data[[#This Row],[Deposit Fee]]=0,"Unpaid","Partially Paid"))</f>
        <v>Paid</v>
      </c>
      <c r="M210" s="5" t="s">
        <v>19</v>
      </c>
      <c r="N210"/>
      <c r="O210"/>
      <c r="P210"/>
      <c r="Q210"/>
      <c r="R210"/>
      <c r="S210"/>
      <c r="T210"/>
      <c r="U210"/>
      <c r="V210"/>
      <c r="W210"/>
    </row>
    <row r="211" spans="1:23" ht="15.4">
      <c r="A211" s="5">
        <v>889</v>
      </c>
      <c r="B211" s="5">
        <v>18889</v>
      </c>
      <c r="C211" s="5" t="s">
        <v>1323</v>
      </c>
      <c r="D211" s="5" t="s">
        <v>380</v>
      </c>
      <c r="E211" s="5" t="s">
        <v>9</v>
      </c>
      <c r="F211" s="5" t="s">
        <v>1362</v>
      </c>
      <c r="G211" s="8">
        <v>45385</v>
      </c>
      <c r="H211" s="8" t="str">
        <f t="shared" si="3"/>
        <v>Apr</v>
      </c>
      <c r="I211" s="5">
        <v>3200</v>
      </c>
      <c r="J211" s="5">
        <v>2800</v>
      </c>
      <c r="K211" s="5">
        <f>student_data[[#This Row],[Total Fee]]-student_data[[#This Row],[Deposit Fee]]</f>
        <v>400</v>
      </c>
      <c r="L211" s="5" t="str">
        <f>IF(student_data[[#This Row],[Outstanding Fee]]=0,"Paid",IF(student_data[[#This Row],[Deposit Fee]]=0,"Unpaid","Partially Paid"))</f>
        <v>Partially Paid</v>
      </c>
      <c r="M211" s="5" t="s">
        <v>47</v>
      </c>
      <c r="N211"/>
      <c r="O211"/>
      <c r="P211"/>
      <c r="Q211"/>
      <c r="R211"/>
      <c r="S211"/>
      <c r="T211"/>
      <c r="U211"/>
      <c r="V211"/>
      <c r="W211"/>
    </row>
    <row r="212" spans="1:23" ht="15.4">
      <c r="A212" s="5">
        <v>890</v>
      </c>
      <c r="B212" s="5">
        <v>18890</v>
      </c>
      <c r="C212" s="5" t="s">
        <v>1324</v>
      </c>
      <c r="D212" s="5" t="s">
        <v>1325</v>
      </c>
      <c r="E212" s="5" t="s">
        <v>9</v>
      </c>
      <c r="F212" s="5" t="s">
        <v>1362</v>
      </c>
      <c r="G212" s="8">
        <v>45388</v>
      </c>
      <c r="H212" s="8" t="str">
        <f t="shared" si="3"/>
        <v>Apr</v>
      </c>
      <c r="I212" s="5">
        <v>3200</v>
      </c>
      <c r="J212" s="5">
        <v>2600</v>
      </c>
      <c r="K212" s="5">
        <f>student_data[[#This Row],[Total Fee]]-student_data[[#This Row],[Deposit Fee]]</f>
        <v>600</v>
      </c>
      <c r="L212" s="5" t="str">
        <f>IF(student_data[[#This Row],[Outstanding Fee]]=0,"Paid",IF(student_data[[#This Row],[Deposit Fee]]=0,"Unpaid","Partially Paid"))</f>
        <v>Partially Paid</v>
      </c>
      <c r="M212" s="5" t="s">
        <v>75</v>
      </c>
      <c r="N212"/>
      <c r="O212"/>
      <c r="P212"/>
      <c r="Q212"/>
      <c r="R212"/>
      <c r="S212"/>
      <c r="T212"/>
      <c r="U212"/>
      <c r="V212"/>
      <c r="W212"/>
    </row>
    <row r="213" spans="1:23" ht="15.4">
      <c r="A213" s="5">
        <v>891</v>
      </c>
      <c r="B213" s="5">
        <v>18891</v>
      </c>
      <c r="C213" s="5" t="s">
        <v>1326</v>
      </c>
      <c r="D213" s="5" t="s">
        <v>674</v>
      </c>
      <c r="E213" s="5" t="s">
        <v>9</v>
      </c>
      <c r="F213" s="5" t="s">
        <v>1362</v>
      </c>
      <c r="G213" s="8">
        <v>45388</v>
      </c>
      <c r="H213" s="8" t="str">
        <f t="shared" si="3"/>
        <v>Apr</v>
      </c>
      <c r="I213" s="5">
        <v>3200</v>
      </c>
      <c r="J213" s="5">
        <v>3200</v>
      </c>
      <c r="K213" s="5">
        <f>student_data[[#This Row],[Total Fee]]-student_data[[#This Row],[Deposit Fee]]</f>
        <v>0</v>
      </c>
      <c r="L213" s="5" t="str">
        <f>IF(student_data[[#This Row],[Outstanding Fee]]=0,"Paid",IF(student_data[[#This Row],[Deposit Fee]]=0,"Unpaid","Partially Paid"))</f>
        <v>Paid</v>
      </c>
      <c r="M213" s="5" t="s">
        <v>89</v>
      </c>
      <c r="N213"/>
      <c r="O213"/>
      <c r="P213"/>
      <c r="Q213"/>
      <c r="R213"/>
      <c r="S213"/>
      <c r="T213"/>
      <c r="U213"/>
      <c r="V213"/>
      <c r="W213"/>
    </row>
    <row r="214" spans="1:23" ht="15.4">
      <c r="A214" s="5">
        <v>892</v>
      </c>
      <c r="B214" s="5">
        <v>18892</v>
      </c>
      <c r="C214" s="5" t="s">
        <v>1327</v>
      </c>
      <c r="D214" s="5" t="s">
        <v>1328</v>
      </c>
      <c r="E214" s="5" t="s">
        <v>9</v>
      </c>
      <c r="F214" s="5" t="s">
        <v>1362</v>
      </c>
      <c r="G214" s="8">
        <v>45388</v>
      </c>
      <c r="H214" s="8" t="str">
        <f t="shared" si="3"/>
        <v>Apr</v>
      </c>
      <c r="I214" s="5">
        <v>3200</v>
      </c>
      <c r="J214" s="5">
        <v>2600</v>
      </c>
      <c r="K214" s="5">
        <f>student_data[[#This Row],[Total Fee]]-student_data[[#This Row],[Deposit Fee]]</f>
        <v>600</v>
      </c>
      <c r="L214" s="5" t="str">
        <f>IF(student_data[[#This Row],[Outstanding Fee]]=0,"Paid",IF(student_data[[#This Row],[Deposit Fee]]=0,"Unpaid","Partially Paid"))</f>
        <v>Partially Paid</v>
      </c>
      <c r="M214" s="5" t="s">
        <v>29</v>
      </c>
      <c r="N214"/>
      <c r="O214"/>
      <c r="P214"/>
      <c r="Q214"/>
      <c r="R214"/>
      <c r="S214"/>
      <c r="T214"/>
      <c r="U214"/>
      <c r="V214"/>
      <c r="W214"/>
    </row>
    <row r="215" spans="1:23" ht="15.4">
      <c r="A215" s="5">
        <v>893</v>
      </c>
      <c r="B215" s="5">
        <v>18893</v>
      </c>
      <c r="C215" s="5" t="s">
        <v>410</v>
      </c>
      <c r="D215" s="5" t="s">
        <v>147</v>
      </c>
      <c r="E215" s="5" t="s">
        <v>25</v>
      </c>
      <c r="F215" s="5" t="s">
        <v>1362</v>
      </c>
      <c r="G215" s="8">
        <v>45390</v>
      </c>
      <c r="H215" s="8" t="str">
        <f t="shared" si="3"/>
        <v>Apr</v>
      </c>
      <c r="I215" s="5">
        <v>3200</v>
      </c>
      <c r="J215" s="5">
        <v>3200</v>
      </c>
      <c r="K215" s="5">
        <f>student_data[[#This Row],[Total Fee]]-student_data[[#This Row],[Deposit Fee]]</f>
        <v>0</v>
      </c>
      <c r="L215" s="5" t="str">
        <f>IF(student_data[[#This Row],[Outstanding Fee]]=0,"Paid",IF(student_data[[#This Row],[Deposit Fee]]=0,"Unpaid","Partially Paid"))</f>
        <v>Paid</v>
      </c>
      <c r="M215" s="5" t="s">
        <v>75</v>
      </c>
      <c r="N215"/>
      <c r="O215"/>
      <c r="P215"/>
      <c r="Q215"/>
      <c r="R215"/>
      <c r="S215"/>
      <c r="T215"/>
      <c r="U215"/>
      <c r="V215"/>
      <c r="W215"/>
    </row>
    <row r="216" spans="1:23" ht="15.4">
      <c r="A216" s="5">
        <v>894</v>
      </c>
      <c r="B216" s="5">
        <v>18894</v>
      </c>
      <c r="C216" s="5" t="s">
        <v>1329</v>
      </c>
      <c r="D216" s="5" t="s">
        <v>1330</v>
      </c>
      <c r="E216" s="5" t="s">
        <v>25</v>
      </c>
      <c r="F216" s="5" t="s">
        <v>1362</v>
      </c>
      <c r="G216" s="8">
        <v>45390</v>
      </c>
      <c r="H216" s="8" t="str">
        <f t="shared" si="3"/>
        <v>Apr</v>
      </c>
      <c r="I216" s="5">
        <v>3200</v>
      </c>
      <c r="J216" s="5">
        <v>400</v>
      </c>
      <c r="K216" s="5">
        <f>student_data[[#This Row],[Total Fee]]-student_data[[#This Row],[Deposit Fee]]</f>
        <v>2800</v>
      </c>
      <c r="L216" s="5" t="str">
        <f>IF(student_data[[#This Row],[Outstanding Fee]]=0,"Paid",IF(student_data[[#This Row],[Deposit Fee]]=0,"Unpaid","Partially Paid"))</f>
        <v>Partially Paid</v>
      </c>
      <c r="M216" s="5" t="s">
        <v>75</v>
      </c>
      <c r="N216"/>
      <c r="O216"/>
      <c r="P216"/>
      <c r="Q216"/>
      <c r="R216"/>
      <c r="S216"/>
      <c r="T216"/>
      <c r="U216"/>
      <c r="V216"/>
      <c r="W216"/>
    </row>
    <row r="217" spans="1:23" ht="15.4">
      <c r="A217" s="5">
        <v>895</v>
      </c>
      <c r="B217" s="5">
        <v>18895</v>
      </c>
      <c r="C217" s="5" t="s">
        <v>1331</v>
      </c>
      <c r="D217" s="5" t="s">
        <v>1332</v>
      </c>
      <c r="E217" s="5" t="s">
        <v>25</v>
      </c>
      <c r="F217" s="5" t="s">
        <v>1362</v>
      </c>
      <c r="G217" s="8">
        <v>45390</v>
      </c>
      <c r="H217" s="8" t="str">
        <f t="shared" si="3"/>
        <v>Apr</v>
      </c>
      <c r="I217" s="5">
        <v>3200</v>
      </c>
      <c r="J217" s="5">
        <v>2600</v>
      </c>
      <c r="K217" s="5">
        <f>student_data[[#This Row],[Total Fee]]-student_data[[#This Row],[Deposit Fee]]</f>
        <v>600</v>
      </c>
      <c r="L217" s="5" t="str">
        <f>IF(student_data[[#This Row],[Outstanding Fee]]=0,"Paid",IF(student_data[[#This Row],[Deposit Fee]]=0,"Unpaid","Partially Paid"))</f>
        <v>Partially Paid</v>
      </c>
      <c r="M217" s="5" t="s">
        <v>19</v>
      </c>
      <c r="N217"/>
      <c r="O217"/>
      <c r="P217"/>
      <c r="Q217"/>
      <c r="R217"/>
      <c r="S217"/>
      <c r="T217"/>
      <c r="U217"/>
      <c r="V217"/>
      <c r="W217"/>
    </row>
    <row r="218" spans="1:23" ht="15.4">
      <c r="A218" s="5">
        <v>89</v>
      </c>
      <c r="B218" s="5">
        <v>18089</v>
      </c>
      <c r="C218" s="5" t="s">
        <v>31</v>
      </c>
      <c r="D218" s="5" t="s">
        <v>181</v>
      </c>
      <c r="E218" s="5" t="s">
        <v>9</v>
      </c>
      <c r="F218" s="5" t="s">
        <v>1364</v>
      </c>
      <c r="G218" s="8">
        <v>45391</v>
      </c>
      <c r="H218" s="8" t="str">
        <f t="shared" si="3"/>
        <v>Apr</v>
      </c>
      <c r="I218" s="5">
        <v>1800</v>
      </c>
      <c r="J218" s="5">
        <v>1800</v>
      </c>
      <c r="K218" s="5">
        <f>student_data[[#This Row],[Total Fee]]-student_data[[#This Row],[Deposit Fee]]</f>
        <v>0</v>
      </c>
      <c r="L218" s="5" t="str">
        <f>IF(student_data[[#This Row],[Outstanding Fee]]=0,"Paid",IF(student_data[[#This Row],[Deposit Fee]]=0,"Unpaid","Partially Paid"))</f>
        <v>Paid</v>
      </c>
      <c r="M218" s="5" t="s">
        <v>75</v>
      </c>
      <c r="N218"/>
      <c r="O218"/>
      <c r="P218"/>
      <c r="Q218"/>
      <c r="R218"/>
      <c r="S218"/>
      <c r="T218"/>
      <c r="U218"/>
      <c r="V218"/>
      <c r="W218"/>
    </row>
    <row r="219" spans="1:23" ht="15.4">
      <c r="A219" s="5">
        <v>90</v>
      </c>
      <c r="B219" s="5">
        <v>18090</v>
      </c>
      <c r="C219" s="5" t="s">
        <v>23</v>
      </c>
      <c r="D219" s="5" t="s">
        <v>182</v>
      </c>
      <c r="E219" s="5" t="s">
        <v>9</v>
      </c>
      <c r="F219" s="5" t="s">
        <v>1364</v>
      </c>
      <c r="G219" s="8">
        <v>45391</v>
      </c>
      <c r="H219" s="8" t="str">
        <f t="shared" si="3"/>
        <v>Apr</v>
      </c>
      <c r="I219" s="5">
        <v>1800</v>
      </c>
      <c r="J219" s="5">
        <v>1800</v>
      </c>
      <c r="K219" s="5">
        <f>student_data[[#This Row],[Total Fee]]-student_data[[#This Row],[Deposit Fee]]</f>
        <v>0</v>
      </c>
      <c r="L219" s="5" t="str">
        <f>IF(student_data[[#This Row],[Outstanding Fee]]=0,"Paid",IF(student_data[[#This Row],[Deposit Fee]]=0,"Unpaid","Partially Paid"))</f>
        <v>Paid</v>
      </c>
      <c r="M219" s="5" t="s">
        <v>19</v>
      </c>
      <c r="N219"/>
      <c r="O219"/>
      <c r="P219"/>
      <c r="Q219"/>
      <c r="R219"/>
      <c r="S219"/>
      <c r="T219"/>
      <c r="U219"/>
      <c r="V219"/>
      <c r="W219"/>
    </row>
    <row r="220" spans="1:23" ht="15.4">
      <c r="A220" s="5">
        <v>629</v>
      </c>
      <c r="B220" s="5">
        <v>18629</v>
      </c>
      <c r="C220" s="5" t="s">
        <v>993</v>
      </c>
      <c r="D220" s="5" t="s">
        <v>994</v>
      </c>
      <c r="E220" s="5" t="s">
        <v>9</v>
      </c>
      <c r="F220" s="5" t="s">
        <v>1364</v>
      </c>
      <c r="G220" s="8">
        <v>45391</v>
      </c>
      <c r="H220" s="8" t="str">
        <f t="shared" si="3"/>
        <v>Apr</v>
      </c>
      <c r="I220" s="5">
        <v>1800</v>
      </c>
      <c r="J220" s="5">
        <v>1200</v>
      </c>
      <c r="K220" s="5">
        <f>student_data[[#This Row],[Total Fee]]-student_data[[#This Row],[Deposit Fee]]</f>
        <v>600</v>
      </c>
      <c r="L220" s="5" t="str">
        <f>IF(student_data[[#This Row],[Outstanding Fee]]=0,"Paid",IF(student_data[[#This Row],[Deposit Fee]]=0,"Unpaid","Partially Paid"))</f>
        <v>Partially Paid</v>
      </c>
      <c r="M220" s="5" t="s">
        <v>47</v>
      </c>
      <c r="N220"/>
      <c r="O220"/>
      <c r="P220"/>
      <c r="Q220"/>
      <c r="R220"/>
      <c r="S220"/>
      <c r="T220"/>
      <c r="U220"/>
      <c r="V220"/>
      <c r="W220"/>
    </row>
    <row r="221" spans="1:23" ht="15.4">
      <c r="A221" s="5">
        <v>896</v>
      </c>
      <c r="B221" s="5">
        <v>18896</v>
      </c>
      <c r="C221" s="5" t="s">
        <v>1333</v>
      </c>
      <c r="D221" s="5" t="s">
        <v>1334</v>
      </c>
      <c r="E221" s="5" t="s">
        <v>9</v>
      </c>
      <c r="F221" s="5" t="s">
        <v>1362</v>
      </c>
      <c r="G221" s="8">
        <v>45392</v>
      </c>
      <c r="H221" s="8" t="str">
        <f t="shared" si="3"/>
        <v>Apr</v>
      </c>
      <c r="I221" s="5">
        <v>3200</v>
      </c>
      <c r="J221" s="5">
        <v>2600</v>
      </c>
      <c r="K221" s="5">
        <f>student_data[[#This Row],[Total Fee]]-student_data[[#This Row],[Deposit Fee]]</f>
        <v>600</v>
      </c>
      <c r="L221" s="5" t="str">
        <f>IF(student_data[[#This Row],[Outstanding Fee]]=0,"Paid",IF(student_data[[#This Row],[Deposit Fee]]=0,"Unpaid","Partially Paid"))</f>
        <v>Partially Paid</v>
      </c>
      <c r="M221" s="5" t="s">
        <v>47</v>
      </c>
      <c r="N221"/>
      <c r="O221"/>
      <c r="P221"/>
      <c r="Q221"/>
      <c r="R221"/>
      <c r="S221"/>
      <c r="T221"/>
      <c r="U221"/>
      <c r="V221"/>
      <c r="W221"/>
    </row>
    <row r="222" spans="1:23" ht="15.4">
      <c r="A222" s="5">
        <v>897</v>
      </c>
      <c r="B222" s="5">
        <v>18897</v>
      </c>
      <c r="C222" s="5" t="s">
        <v>1335</v>
      </c>
      <c r="D222" s="5" t="s">
        <v>253</v>
      </c>
      <c r="E222" s="5" t="s">
        <v>25</v>
      </c>
      <c r="F222" s="5" t="s">
        <v>1364</v>
      </c>
      <c r="G222" s="8">
        <v>45392</v>
      </c>
      <c r="H222" s="8" t="str">
        <f t="shared" si="3"/>
        <v>Apr</v>
      </c>
      <c r="I222" s="5">
        <v>1800</v>
      </c>
      <c r="J222" s="5">
        <v>1400</v>
      </c>
      <c r="K222" s="5">
        <f>student_data[[#This Row],[Total Fee]]-student_data[[#This Row],[Deposit Fee]]</f>
        <v>400</v>
      </c>
      <c r="L222" s="5" t="str">
        <f>IF(student_data[[#This Row],[Outstanding Fee]]=0,"Paid",IF(student_data[[#This Row],[Deposit Fee]]=0,"Unpaid","Partially Paid"))</f>
        <v>Partially Paid</v>
      </c>
      <c r="M222" s="5" t="s">
        <v>47</v>
      </c>
      <c r="N222"/>
      <c r="O222"/>
      <c r="P222"/>
      <c r="Q222"/>
      <c r="R222"/>
      <c r="S222"/>
      <c r="T222"/>
      <c r="U222"/>
      <c r="V222"/>
      <c r="W222"/>
    </row>
    <row r="223" spans="1:23" ht="15.4">
      <c r="A223" s="5">
        <v>898</v>
      </c>
      <c r="B223" s="5">
        <v>18898</v>
      </c>
      <c r="C223" s="5" t="s">
        <v>1336</v>
      </c>
      <c r="D223" s="5" t="s">
        <v>117</v>
      </c>
      <c r="E223" s="5" t="s">
        <v>9</v>
      </c>
      <c r="F223" s="5" t="s">
        <v>1364</v>
      </c>
      <c r="G223" s="8">
        <v>45392</v>
      </c>
      <c r="H223" s="8" t="str">
        <f t="shared" si="3"/>
        <v>Apr</v>
      </c>
      <c r="I223" s="5">
        <v>1800</v>
      </c>
      <c r="J223" s="5">
        <v>1800</v>
      </c>
      <c r="K223" s="5">
        <f>student_data[[#This Row],[Total Fee]]-student_data[[#This Row],[Deposit Fee]]</f>
        <v>0</v>
      </c>
      <c r="L223" s="5" t="str">
        <f>IF(student_data[[#This Row],[Outstanding Fee]]=0,"Paid",IF(student_data[[#This Row],[Deposit Fee]]=0,"Unpaid","Partially Paid"))</f>
        <v>Paid</v>
      </c>
      <c r="M223" s="5" t="s">
        <v>78</v>
      </c>
      <c r="N223"/>
      <c r="O223"/>
      <c r="P223"/>
      <c r="Q223"/>
      <c r="R223"/>
      <c r="S223"/>
      <c r="T223"/>
      <c r="U223"/>
      <c r="V223"/>
      <c r="W223"/>
    </row>
    <row r="224" spans="1:23" ht="15.4">
      <c r="A224" s="5">
        <v>759</v>
      </c>
      <c r="B224" s="5">
        <v>18759</v>
      </c>
      <c r="C224" s="5" t="s">
        <v>1175</v>
      </c>
      <c r="D224" s="5" t="s">
        <v>1176</v>
      </c>
      <c r="E224" s="5" t="s">
        <v>25</v>
      </c>
      <c r="F224" s="5" t="s">
        <v>1363</v>
      </c>
      <c r="G224" s="8">
        <v>45393</v>
      </c>
      <c r="H224" s="8" t="str">
        <f t="shared" si="3"/>
        <v>Apr</v>
      </c>
      <c r="I224" s="5">
        <v>7500</v>
      </c>
      <c r="J224" s="5">
        <v>700</v>
      </c>
      <c r="K224" s="5">
        <f>student_data[[#This Row],[Total Fee]]-student_data[[#This Row],[Deposit Fee]]</f>
        <v>6800</v>
      </c>
      <c r="L224" s="5" t="str">
        <f>IF(student_data[[#This Row],[Outstanding Fee]]=0,"Paid",IF(student_data[[#This Row],[Deposit Fee]]=0,"Unpaid","Partially Paid"))</f>
        <v>Partially Paid</v>
      </c>
      <c r="M224" s="5" t="s">
        <v>32</v>
      </c>
      <c r="N224"/>
      <c r="O224"/>
      <c r="P224"/>
      <c r="Q224"/>
      <c r="R224"/>
      <c r="S224"/>
      <c r="T224"/>
      <c r="U224"/>
      <c r="V224"/>
      <c r="W224"/>
    </row>
    <row r="225" spans="1:23" ht="15.4">
      <c r="A225" s="5">
        <v>760</v>
      </c>
      <c r="B225" s="5">
        <v>18760</v>
      </c>
      <c r="C225" s="5" t="s">
        <v>298</v>
      </c>
      <c r="D225" s="5" t="s">
        <v>1177</v>
      </c>
      <c r="E225" s="5" t="s">
        <v>9</v>
      </c>
      <c r="F225" s="5" t="s">
        <v>1363</v>
      </c>
      <c r="G225" s="8">
        <v>45393</v>
      </c>
      <c r="H225" s="8" t="str">
        <f t="shared" si="3"/>
        <v>Apr</v>
      </c>
      <c r="I225" s="5">
        <v>7500</v>
      </c>
      <c r="J225" s="5">
        <v>6900</v>
      </c>
      <c r="K225" s="5">
        <f>student_data[[#This Row],[Total Fee]]-student_data[[#This Row],[Deposit Fee]]</f>
        <v>600</v>
      </c>
      <c r="L225" s="5" t="str">
        <f>IF(student_data[[#This Row],[Outstanding Fee]]=0,"Paid",IF(student_data[[#This Row],[Deposit Fee]]=0,"Unpaid","Partially Paid"))</f>
        <v>Partially Paid</v>
      </c>
      <c r="M225" s="5" t="s">
        <v>89</v>
      </c>
      <c r="N225"/>
      <c r="O225"/>
      <c r="P225"/>
      <c r="Q225"/>
      <c r="R225"/>
      <c r="S225"/>
      <c r="T225"/>
      <c r="U225"/>
      <c r="V225"/>
      <c r="W225"/>
    </row>
    <row r="226" spans="1:23" ht="15.4">
      <c r="A226" s="5">
        <v>761</v>
      </c>
      <c r="B226" s="5">
        <v>18761</v>
      </c>
      <c r="C226" s="5" t="s">
        <v>1178</v>
      </c>
      <c r="D226" s="5" t="s">
        <v>1179</v>
      </c>
      <c r="E226" s="5" t="s">
        <v>25</v>
      </c>
      <c r="F226" s="5" t="s">
        <v>1363</v>
      </c>
      <c r="G226" s="8">
        <v>45393</v>
      </c>
      <c r="H226" s="8" t="str">
        <f t="shared" si="3"/>
        <v>Apr</v>
      </c>
      <c r="I226" s="5">
        <v>7500</v>
      </c>
      <c r="J226" s="5">
        <v>7500</v>
      </c>
      <c r="K226" s="5">
        <f>student_data[[#This Row],[Total Fee]]-student_data[[#This Row],[Deposit Fee]]</f>
        <v>0</v>
      </c>
      <c r="L226" s="5" t="str">
        <f>IF(student_data[[#This Row],[Outstanding Fee]]=0,"Paid",IF(student_data[[#This Row],[Deposit Fee]]=0,"Unpaid","Partially Paid"))</f>
        <v>Paid</v>
      </c>
      <c r="M226" s="5" t="s">
        <v>19</v>
      </c>
      <c r="N226"/>
      <c r="O226"/>
      <c r="P226"/>
      <c r="Q226"/>
      <c r="R226"/>
      <c r="S226"/>
      <c r="T226"/>
      <c r="U226"/>
      <c r="V226"/>
      <c r="W226"/>
    </row>
    <row r="227" spans="1:23" ht="15.4">
      <c r="A227" s="5">
        <v>762</v>
      </c>
      <c r="B227" s="5">
        <v>18762</v>
      </c>
      <c r="C227" s="5" t="s">
        <v>1180</v>
      </c>
      <c r="D227" s="5" t="s">
        <v>482</v>
      </c>
      <c r="E227" s="5" t="s">
        <v>9</v>
      </c>
      <c r="F227" s="5" t="s">
        <v>1363</v>
      </c>
      <c r="G227" s="8">
        <v>45394</v>
      </c>
      <c r="H227" s="8" t="str">
        <f t="shared" si="3"/>
        <v>Apr</v>
      </c>
      <c r="I227" s="5">
        <v>7500</v>
      </c>
      <c r="J227" s="5">
        <v>7500</v>
      </c>
      <c r="K227" s="5">
        <f>student_data[[#This Row],[Total Fee]]-student_data[[#This Row],[Deposit Fee]]</f>
        <v>0</v>
      </c>
      <c r="L227" s="5" t="str">
        <f>IF(student_data[[#This Row],[Outstanding Fee]]=0,"Paid",IF(student_data[[#This Row],[Deposit Fee]]=0,"Unpaid","Partially Paid"))</f>
        <v>Paid</v>
      </c>
      <c r="M227" s="5" t="s">
        <v>47</v>
      </c>
      <c r="N227"/>
      <c r="O227"/>
      <c r="P227"/>
      <c r="Q227"/>
      <c r="R227"/>
      <c r="S227"/>
      <c r="T227"/>
      <c r="U227"/>
      <c r="V227"/>
      <c r="W227"/>
    </row>
    <row r="228" spans="1:23" ht="15.4">
      <c r="A228" s="5">
        <v>763</v>
      </c>
      <c r="B228" s="5">
        <v>18763</v>
      </c>
      <c r="C228" s="5" t="s">
        <v>1181</v>
      </c>
      <c r="D228" s="5" t="s">
        <v>1182</v>
      </c>
      <c r="E228" s="5" t="s">
        <v>9</v>
      </c>
      <c r="F228" s="5" t="s">
        <v>1363</v>
      </c>
      <c r="G228" s="8">
        <v>45394</v>
      </c>
      <c r="H228" s="8" t="str">
        <f t="shared" si="3"/>
        <v>Apr</v>
      </c>
      <c r="I228" s="5">
        <v>7500</v>
      </c>
      <c r="J228" s="5">
        <v>7500</v>
      </c>
      <c r="K228" s="5">
        <f>student_data[[#This Row],[Total Fee]]-student_data[[#This Row],[Deposit Fee]]</f>
        <v>0</v>
      </c>
      <c r="L228" s="5" t="str">
        <f>IF(student_data[[#This Row],[Outstanding Fee]]=0,"Paid",IF(student_data[[#This Row],[Deposit Fee]]=0,"Unpaid","Partially Paid"))</f>
        <v>Paid</v>
      </c>
      <c r="M228" s="5" t="s">
        <v>75</v>
      </c>
      <c r="N228"/>
      <c r="O228"/>
      <c r="P228"/>
      <c r="Q228"/>
      <c r="R228"/>
      <c r="S228"/>
      <c r="T228"/>
      <c r="U228"/>
      <c r="V228"/>
      <c r="W228"/>
    </row>
    <row r="229" spans="1:23" ht="15.4">
      <c r="A229" s="5">
        <v>764</v>
      </c>
      <c r="B229" s="5">
        <v>18764</v>
      </c>
      <c r="C229" s="5" t="s">
        <v>1183</v>
      </c>
      <c r="D229" s="5" t="s">
        <v>1184</v>
      </c>
      <c r="E229" s="5" t="s">
        <v>9</v>
      </c>
      <c r="F229" s="5" t="s">
        <v>1363</v>
      </c>
      <c r="G229" s="8">
        <v>45394</v>
      </c>
      <c r="H229" s="8" t="str">
        <f t="shared" si="3"/>
        <v>Apr</v>
      </c>
      <c r="I229" s="5">
        <v>7500</v>
      </c>
      <c r="J229" s="5">
        <v>7500</v>
      </c>
      <c r="K229" s="5">
        <f>student_data[[#This Row],[Total Fee]]-student_data[[#This Row],[Deposit Fee]]</f>
        <v>0</v>
      </c>
      <c r="L229" s="5" t="str">
        <f>IF(student_data[[#This Row],[Outstanding Fee]]=0,"Paid",IF(student_data[[#This Row],[Deposit Fee]]=0,"Unpaid","Partially Paid"))</f>
        <v>Paid</v>
      </c>
      <c r="M229" s="5" t="s">
        <v>89</v>
      </c>
      <c r="N229"/>
      <c r="O229"/>
      <c r="P229"/>
      <c r="Q229"/>
      <c r="R229"/>
      <c r="S229"/>
      <c r="T229"/>
      <c r="U229"/>
      <c r="V229"/>
      <c r="W229"/>
    </row>
    <row r="230" spans="1:23" ht="15.4">
      <c r="A230" s="5">
        <v>765</v>
      </c>
      <c r="B230" s="5">
        <v>18765</v>
      </c>
      <c r="C230" s="5" t="s">
        <v>1185</v>
      </c>
      <c r="D230" s="5" t="s">
        <v>1186</v>
      </c>
      <c r="E230" s="5" t="s">
        <v>25</v>
      </c>
      <c r="F230" s="5" t="s">
        <v>1363</v>
      </c>
      <c r="G230" s="8">
        <v>45395</v>
      </c>
      <c r="H230" s="8" t="str">
        <f t="shared" si="3"/>
        <v>Apr</v>
      </c>
      <c r="I230" s="5">
        <v>7500</v>
      </c>
      <c r="J230" s="5">
        <v>7100</v>
      </c>
      <c r="K230" s="5">
        <f>student_data[[#This Row],[Total Fee]]-student_data[[#This Row],[Deposit Fee]]</f>
        <v>400</v>
      </c>
      <c r="L230" s="5" t="str">
        <f>IF(student_data[[#This Row],[Outstanding Fee]]=0,"Paid",IF(student_data[[#This Row],[Deposit Fee]]=0,"Unpaid","Partially Paid"))</f>
        <v>Partially Paid</v>
      </c>
      <c r="M230" s="5" t="s">
        <v>29</v>
      </c>
      <c r="N230"/>
      <c r="O230"/>
      <c r="P230"/>
      <c r="Q230"/>
      <c r="R230"/>
      <c r="S230"/>
      <c r="T230"/>
      <c r="U230"/>
      <c r="V230"/>
      <c r="W230"/>
    </row>
    <row r="231" spans="1:23" ht="15.4">
      <c r="A231" s="5">
        <v>766</v>
      </c>
      <c r="B231" s="5">
        <v>18766</v>
      </c>
      <c r="C231" s="5" t="s">
        <v>1187</v>
      </c>
      <c r="D231" s="5" t="s">
        <v>479</v>
      </c>
      <c r="E231" s="5" t="s">
        <v>9</v>
      </c>
      <c r="F231" s="5" t="s">
        <v>1363</v>
      </c>
      <c r="G231" s="8">
        <v>45395</v>
      </c>
      <c r="H231" s="8" t="str">
        <f t="shared" si="3"/>
        <v>Apr</v>
      </c>
      <c r="I231" s="5">
        <v>7500</v>
      </c>
      <c r="J231" s="5">
        <v>7100</v>
      </c>
      <c r="K231" s="5">
        <f>student_data[[#This Row],[Total Fee]]-student_data[[#This Row],[Deposit Fee]]</f>
        <v>400</v>
      </c>
      <c r="L231" s="5" t="str">
        <f>IF(student_data[[#This Row],[Outstanding Fee]]=0,"Paid",IF(student_data[[#This Row],[Deposit Fee]]=0,"Unpaid","Partially Paid"))</f>
        <v>Partially Paid</v>
      </c>
      <c r="M231" s="5" t="s">
        <v>10</v>
      </c>
      <c r="N231"/>
      <c r="O231"/>
      <c r="P231"/>
      <c r="Q231"/>
      <c r="R231"/>
      <c r="S231"/>
      <c r="T231"/>
      <c r="U231"/>
      <c r="V231"/>
      <c r="W231"/>
    </row>
    <row r="232" spans="1:23" ht="15.4">
      <c r="A232" s="5">
        <v>774</v>
      </c>
      <c r="B232" s="5">
        <v>18774</v>
      </c>
      <c r="C232" s="5" t="s">
        <v>659</v>
      </c>
      <c r="D232" s="5" t="s">
        <v>1200</v>
      </c>
      <c r="E232" s="5" t="s">
        <v>25</v>
      </c>
      <c r="F232" s="5" t="s">
        <v>1363</v>
      </c>
      <c r="G232" s="8">
        <v>45395</v>
      </c>
      <c r="H232" s="8" t="str">
        <f t="shared" si="3"/>
        <v>Apr</v>
      </c>
      <c r="I232" s="5">
        <v>7500</v>
      </c>
      <c r="J232" s="5">
        <v>6900</v>
      </c>
      <c r="K232" s="5">
        <f>student_data[[#This Row],[Total Fee]]-student_data[[#This Row],[Deposit Fee]]</f>
        <v>600</v>
      </c>
      <c r="L232" s="5" t="str">
        <f>IF(student_data[[#This Row],[Outstanding Fee]]=0,"Paid",IF(student_data[[#This Row],[Deposit Fee]]=0,"Unpaid","Partially Paid"))</f>
        <v>Partially Paid</v>
      </c>
      <c r="M232" s="5" t="s">
        <v>89</v>
      </c>
      <c r="N232"/>
      <c r="O232"/>
      <c r="P232"/>
      <c r="Q232"/>
      <c r="R232"/>
      <c r="S232"/>
      <c r="T232"/>
      <c r="U232"/>
      <c r="V232"/>
      <c r="W232"/>
    </row>
    <row r="233" spans="1:23" ht="15.4">
      <c r="A233" s="5">
        <v>775</v>
      </c>
      <c r="B233" s="5">
        <v>18775</v>
      </c>
      <c r="C233" s="5" t="s">
        <v>1201</v>
      </c>
      <c r="D233" s="5" t="s">
        <v>385</v>
      </c>
      <c r="E233" s="5" t="s">
        <v>25</v>
      </c>
      <c r="F233" s="5" t="s">
        <v>1363</v>
      </c>
      <c r="G233" s="8">
        <v>45398</v>
      </c>
      <c r="H233" s="8" t="str">
        <f t="shared" si="3"/>
        <v>Apr</v>
      </c>
      <c r="I233" s="5">
        <v>7500</v>
      </c>
      <c r="J233" s="5">
        <v>6900</v>
      </c>
      <c r="K233" s="5">
        <f>student_data[[#This Row],[Total Fee]]-student_data[[#This Row],[Deposit Fee]]</f>
        <v>600</v>
      </c>
      <c r="L233" s="5" t="str">
        <f>IF(student_data[[#This Row],[Outstanding Fee]]=0,"Paid",IF(student_data[[#This Row],[Deposit Fee]]=0,"Unpaid","Partially Paid"))</f>
        <v>Partially Paid</v>
      </c>
      <c r="M233" s="5" t="s">
        <v>29</v>
      </c>
      <c r="N233"/>
      <c r="O233"/>
      <c r="P233"/>
      <c r="Q233"/>
      <c r="R233"/>
      <c r="S233"/>
      <c r="T233"/>
      <c r="U233"/>
      <c r="V233"/>
      <c r="W233"/>
    </row>
    <row r="234" spans="1:23" ht="15.4">
      <c r="A234" s="5">
        <v>776</v>
      </c>
      <c r="B234" s="5">
        <v>18776</v>
      </c>
      <c r="C234" s="5" t="s">
        <v>1202</v>
      </c>
      <c r="D234" s="5" t="s">
        <v>103</v>
      </c>
      <c r="E234" s="5" t="s">
        <v>9</v>
      </c>
      <c r="F234" s="5" t="s">
        <v>1363</v>
      </c>
      <c r="G234" s="8">
        <v>45399</v>
      </c>
      <c r="H234" s="8" t="str">
        <f t="shared" si="3"/>
        <v>Apr</v>
      </c>
      <c r="I234" s="5">
        <v>7500</v>
      </c>
      <c r="J234" s="5">
        <v>1800</v>
      </c>
      <c r="K234" s="5">
        <f>student_data[[#This Row],[Total Fee]]-student_data[[#This Row],[Deposit Fee]]</f>
        <v>5700</v>
      </c>
      <c r="L234" s="5" t="str">
        <f>IF(student_data[[#This Row],[Outstanding Fee]]=0,"Paid",IF(student_data[[#This Row],[Deposit Fee]]=0,"Unpaid","Partially Paid"))</f>
        <v>Partially Paid</v>
      </c>
      <c r="M234" s="5" t="s">
        <v>10</v>
      </c>
      <c r="N234"/>
      <c r="O234"/>
      <c r="P234"/>
      <c r="Q234"/>
      <c r="R234"/>
      <c r="S234"/>
      <c r="T234"/>
      <c r="U234"/>
      <c r="V234"/>
      <c r="W234"/>
    </row>
    <row r="235" spans="1:23" ht="15.4">
      <c r="A235" s="5">
        <v>777</v>
      </c>
      <c r="B235" s="5">
        <v>18777</v>
      </c>
      <c r="C235" s="5" t="s">
        <v>1203</v>
      </c>
      <c r="D235" s="5" t="s">
        <v>278</v>
      </c>
      <c r="E235" s="5" t="s">
        <v>9</v>
      </c>
      <c r="F235" s="5" t="s">
        <v>1363</v>
      </c>
      <c r="G235" s="8">
        <v>45399</v>
      </c>
      <c r="H235" s="8" t="str">
        <f t="shared" si="3"/>
        <v>Apr</v>
      </c>
      <c r="I235" s="5">
        <v>7500</v>
      </c>
      <c r="J235" s="5">
        <v>7500</v>
      </c>
      <c r="K235" s="5">
        <f>student_data[[#This Row],[Total Fee]]-student_data[[#This Row],[Deposit Fee]]</f>
        <v>0</v>
      </c>
      <c r="L235" s="5" t="str">
        <f>IF(student_data[[#This Row],[Outstanding Fee]]=0,"Paid",IF(student_data[[#This Row],[Deposit Fee]]=0,"Unpaid","Partially Paid"))</f>
        <v>Paid</v>
      </c>
      <c r="M235" s="5" t="s">
        <v>13</v>
      </c>
      <c r="N235"/>
      <c r="O235"/>
      <c r="P235"/>
      <c r="Q235"/>
      <c r="R235"/>
      <c r="S235"/>
      <c r="T235"/>
      <c r="U235"/>
      <c r="V235"/>
      <c r="W235"/>
    </row>
    <row r="236" spans="1:23" ht="15.4">
      <c r="A236" s="5">
        <v>778</v>
      </c>
      <c r="B236" s="5">
        <v>18778</v>
      </c>
      <c r="C236" s="5" t="s">
        <v>501</v>
      </c>
      <c r="D236" s="5" t="s">
        <v>892</v>
      </c>
      <c r="E236" s="5" t="s">
        <v>9</v>
      </c>
      <c r="F236" s="5" t="s">
        <v>1363</v>
      </c>
      <c r="G236" s="8">
        <v>45399</v>
      </c>
      <c r="H236" s="8" t="str">
        <f t="shared" si="3"/>
        <v>Apr</v>
      </c>
      <c r="I236" s="5">
        <v>7500</v>
      </c>
      <c r="J236" s="5">
        <v>7500</v>
      </c>
      <c r="K236" s="5">
        <f>student_data[[#This Row],[Total Fee]]-student_data[[#This Row],[Deposit Fee]]</f>
        <v>0</v>
      </c>
      <c r="L236" s="5" t="str">
        <f>IF(student_data[[#This Row],[Outstanding Fee]]=0,"Paid",IF(student_data[[#This Row],[Deposit Fee]]=0,"Unpaid","Partially Paid"))</f>
        <v>Paid</v>
      </c>
      <c r="M236" s="5" t="s">
        <v>38</v>
      </c>
      <c r="N236"/>
      <c r="O236"/>
      <c r="P236"/>
      <c r="Q236"/>
      <c r="R236"/>
      <c r="S236"/>
      <c r="T236"/>
      <c r="U236"/>
      <c r="V236"/>
      <c r="W236"/>
    </row>
    <row r="237" spans="1:23" ht="15.4">
      <c r="A237" s="5">
        <v>779</v>
      </c>
      <c r="B237" s="5">
        <v>18779</v>
      </c>
      <c r="C237" s="5" t="s">
        <v>1204</v>
      </c>
      <c r="D237" s="5" t="s">
        <v>858</v>
      </c>
      <c r="E237" s="5" t="s">
        <v>9</v>
      </c>
      <c r="F237" s="5" t="s">
        <v>1363</v>
      </c>
      <c r="G237" s="8">
        <v>45400</v>
      </c>
      <c r="H237" s="8" t="str">
        <f t="shared" si="3"/>
        <v>Apr</v>
      </c>
      <c r="I237" s="5">
        <v>7500</v>
      </c>
      <c r="J237" s="5">
        <v>6900</v>
      </c>
      <c r="K237" s="5">
        <f>student_data[[#This Row],[Total Fee]]-student_data[[#This Row],[Deposit Fee]]</f>
        <v>600</v>
      </c>
      <c r="L237" s="5" t="str">
        <f>IF(student_data[[#This Row],[Outstanding Fee]]=0,"Paid",IF(student_data[[#This Row],[Deposit Fee]]=0,"Unpaid","Partially Paid"))</f>
        <v>Partially Paid</v>
      </c>
      <c r="M237" s="5" t="s">
        <v>78</v>
      </c>
      <c r="N237"/>
      <c r="O237"/>
      <c r="P237"/>
      <c r="Q237"/>
      <c r="R237"/>
      <c r="S237"/>
      <c r="T237"/>
      <c r="U237"/>
      <c r="V237"/>
      <c r="W237"/>
    </row>
    <row r="238" spans="1:23" ht="15.4">
      <c r="A238" s="5">
        <v>780</v>
      </c>
      <c r="B238" s="5">
        <v>18780</v>
      </c>
      <c r="C238" s="5" t="s">
        <v>1205</v>
      </c>
      <c r="D238" s="5" t="s">
        <v>701</v>
      </c>
      <c r="E238" s="5" t="s">
        <v>9</v>
      </c>
      <c r="F238" s="5" t="s">
        <v>1363</v>
      </c>
      <c r="G238" s="8">
        <v>45400</v>
      </c>
      <c r="H238" s="8" t="str">
        <f t="shared" si="3"/>
        <v>Apr</v>
      </c>
      <c r="I238" s="5">
        <v>7500</v>
      </c>
      <c r="J238" s="5">
        <v>6900</v>
      </c>
      <c r="K238" s="5">
        <f>student_data[[#This Row],[Total Fee]]-student_data[[#This Row],[Deposit Fee]]</f>
        <v>600</v>
      </c>
      <c r="L238" s="5" t="str">
        <f>IF(student_data[[#This Row],[Outstanding Fee]]=0,"Paid",IF(student_data[[#This Row],[Deposit Fee]]=0,"Unpaid","Partially Paid"))</f>
        <v>Partially Paid</v>
      </c>
      <c r="M238" s="5" t="s">
        <v>16</v>
      </c>
      <c r="N238"/>
      <c r="O238"/>
      <c r="P238"/>
      <c r="Q238"/>
      <c r="R238"/>
      <c r="S238"/>
      <c r="T238"/>
      <c r="U238"/>
      <c r="V238"/>
      <c r="W238"/>
    </row>
    <row r="239" spans="1:23" ht="15.4">
      <c r="A239" s="5">
        <v>781</v>
      </c>
      <c r="B239" s="5">
        <v>18781</v>
      </c>
      <c r="C239" s="5" t="s">
        <v>1206</v>
      </c>
      <c r="D239" s="5" t="s">
        <v>1207</v>
      </c>
      <c r="E239" s="5" t="s">
        <v>25</v>
      </c>
      <c r="F239" s="5" t="s">
        <v>1363</v>
      </c>
      <c r="G239" s="8">
        <v>45400</v>
      </c>
      <c r="H239" s="8" t="str">
        <f t="shared" si="3"/>
        <v>Apr</v>
      </c>
      <c r="I239" s="5">
        <v>7500</v>
      </c>
      <c r="J239" s="5">
        <v>7500</v>
      </c>
      <c r="K239" s="5">
        <f>student_data[[#This Row],[Total Fee]]-student_data[[#This Row],[Deposit Fee]]</f>
        <v>0</v>
      </c>
      <c r="L239" s="5" t="str">
        <f>IF(student_data[[#This Row],[Outstanding Fee]]=0,"Paid",IF(student_data[[#This Row],[Deposit Fee]]=0,"Unpaid","Partially Paid"))</f>
        <v>Paid</v>
      </c>
      <c r="M239" s="5" t="s">
        <v>19</v>
      </c>
      <c r="N239"/>
      <c r="O239"/>
      <c r="P239"/>
      <c r="Q239"/>
      <c r="R239"/>
      <c r="S239"/>
      <c r="T239"/>
      <c r="U239"/>
      <c r="V239"/>
      <c r="W239"/>
    </row>
    <row r="240" spans="1:23" ht="15.4">
      <c r="A240" s="5">
        <v>782</v>
      </c>
      <c r="B240" s="5">
        <v>18782</v>
      </c>
      <c r="C240" s="5" t="s">
        <v>1208</v>
      </c>
      <c r="D240" s="5" t="s">
        <v>1209</v>
      </c>
      <c r="E240" s="5" t="s">
        <v>25</v>
      </c>
      <c r="F240" s="5" t="s">
        <v>1363</v>
      </c>
      <c r="G240" s="8">
        <v>45401</v>
      </c>
      <c r="H240" s="8" t="str">
        <f t="shared" si="3"/>
        <v>Apr</v>
      </c>
      <c r="I240" s="5">
        <v>7500</v>
      </c>
      <c r="J240" s="5">
        <v>7500</v>
      </c>
      <c r="K240" s="5">
        <f>student_data[[#This Row],[Total Fee]]-student_data[[#This Row],[Deposit Fee]]</f>
        <v>0</v>
      </c>
      <c r="L240" s="5" t="str">
        <f>IF(student_data[[#This Row],[Outstanding Fee]]=0,"Paid",IF(student_data[[#This Row],[Deposit Fee]]=0,"Unpaid","Partially Paid"))</f>
        <v>Paid</v>
      </c>
      <c r="M240" s="5" t="s">
        <v>47</v>
      </c>
      <c r="N240"/>
      <c r="O240"/>
      <c r="P240"/>
      <c r="Q240"/>
      <c r="R240"/>
      <c r="S240"/>
      <c r="T240"/>
      <c r="U240"/>
      <c r="V240"/>
      <c r="W240"/>
    </row>
    <row r="241" spans="1:23" ht="15.4">
      <c r="A241" s="5">
        <v>783</v>
      </c>
      <c r="B241" s="5">
        <v>18783</v>
      </c>
      <c r="C241" s="5" t="s">
        <v>1210</v>
      </c>
      <c r="D241" s="5" t="s">
        <v>643</v>
      </c>
      <c r="E241" s="5" t="s">
        <v>25</v>
      </c>
      <c r="F241" s="5" t="s">
        <v>1363</v>
      </c>
      <c r="G241" s="8">
        <v>45401</v>
      </c>
      <c r="H241" s="8" t="str">
        <f t="shared" si="3"/>
        <v>Apr</v>
      </c>
      <c r="I241" s="5">
        <v>7500</v>
      </c>
      <c r="J241" s="5">
        <v>7500</v>
      </c>
      <c r="K241" s="5">
        <f>student_data[[#This Row],[Total Fee]]-student_data[[#This Row],[Deposit Fee]]</f>
        <v>0</v>
      </c>
      <c r="L241" s="5" t="str">
        <f>IF(student_data[[#This Row],[Outstanding Fee]]=0,"Paid",IF(student_data[[#This Row],[Deposit Fee]]=0,"Unpaid","Partially Paid"))</f>
        <v>Paid</v>
      </c>
      <c r="M241" s="5" t="s">
        <v>75</v>
      </c>
      <c r="N241"/>
      <c r="O241"/>
      <c r="P241"/>
      <c r="Q241"/>
      <c r="R241"/>
      <c r="S241"/>
      <c r="T241"/>
      <c r="U241"/>
      <c r="V241"/>
      <c r="W241"/>
    </row>
    <row r="242" spans="1:23" ht="15.4">
      <c r="A242" s="5">
        <v>784</v>
      </c>
      <c r="B242" s="5">
        <v>18784</v>
      </c>
      <c r="C242" s="5" t="s">
        <v>1211</v>
      </c>
      <c r="D242" s="5" t="s">
        <v>1117</v>
      </c>
      <c r="E242" s="5" t="s">
        <v>9</v>
      </c>
      <c r="F242" s="5" t="s">
        <v>1363</v>
      </c>
      <c r="G242" s="8">
        <v>45401</v>
      </c>
      <c r="H242" s="8" t="str">
        <f t="shared" si="3"/>
        <v>Apr</v>
      </c>
      <c r="I242" s="5">
        <v>7500</v>
      </c>
      <c r="J242" s="5">
        <v>7100</v>
      </c>
      <c r="K242" s="5">
        <f>student_data[[#This Row],[Total Fee]]-student_data[[#This Row],[Deposit Fee]]</f>
        <v>400</v>
      </c>
      <c r="L242" s="5" t="str">
        <f>IF(student_data[[#This Row],[Outstanding Fee]]=0,"Paid",IF(student_data[[#This Row],[Deposit Fee]]=0,"Unpaid","Partially Paid"))</f>
        <v>Partially Paid</v>
      </c>
      <c r="M242" s="5" t="s">
        <v>89</v>
      </c>
      <c r="N242"/>
      <c r="O242"/>
      <c r="P242"/>
      <c r="Q242"/>
      <c r="R242"/>
      <c r="S242"/>
      <c r="T242"/>
      <c r="U242"/>
      <c r="V242"/>
      <c r="W242"/>
    </row>
    <row r="243" spans="1:23" ht="15.4">
      <c r="A243" s="5">
        <v>785</v>
      </c>
      <c r="B243" s="5">
        <v>18785</v>
      </c>
      <c r="C243" s="5" t="s">
        <v>1212</v>
      </c>
      <c r="D243" s="5" t="s">
        <v>155</v>
      </c>
      <c r="E243" s="5" t="s">
        <v>9</v>
      </c>
      <c r="F243" s="5" t="s">
        <v>1363</v>
      </c>
      <c r="G243" s="8">
        <v>45402</v>
      </c>
      <c r="H243" s="8" t="str">
        <f t="shared" si="3"/>
        <v>Apr</v>
      </c>
      <c r="I243" s="5">
        <v>7500</v>
      </c>
      <c r="J243" s="5">
        <v>2300</v>
      </c>
      <c r="K243" s="5">
        <f>student_data[[#This Row],[Total Fee]]-student_data[[#This Row],[Deposit Fee]]</f>
        <v>5200</v>
      </c>
      <c r="L243" s="5" t="str">
        <f>IF(student_data[[#This Row],[Outstanding Fee]]=0,"Paid",IF(student_data[[#This Row],[Deposit Fee]]=0,"Unpaid","Partially Paid"))</f>
        <v>Partially Paid</v>
      </c>
      <c r="M243" s="5" t="s">
        <v>29</v>
      </c>
      <c r="N243"/>
      <c r="O243"/>
      <c r="P243"/>
      <c r="Q243"/>
      <c r="R243"/>
      <c r="S243"/>
      <c r="T243"/>
      <c r="U243"/>
      <c r="V243"/>
      <c r="W243"/>
    </row>
    <row r="244" spans="1:23" ht="15.4">
      <c r="A244" s="5">
        <v>786</v>
      </c>
      <c r="B244" s="5">
        <v>18786</v>
      </c>
      <c r="C244" s="5" t="s">
        <v>1213</v>
      </c>
      <c r="D244" s="5" t="s">
        <v>1214</v>
      </c>
      <c r="E244" s="5" t="s">
        <v>9</v>
      </c>
      <c r="F244" s="5" t="s">
        <v>1363</v>
      </c>
      <c r="G244" s="8">
        <v>45402</v>
      </c>
      <c r="H244" s="8" t="str">
        <f t="shared" si="3"/>
        <v>Apr</v>
      </c>
      <c r="I244" s="5">
        <v>7500</v>
      </c>
      <c r="J244" s="5">
        <v>6900</v>
      </c>
      <c r="K244" s="5">
        <f>student_data[[#This Row],[Total Fee]]-student_data[[#This Row],[Deposit Fee]]</f>
        <v>600</v>
      </c>
      <c r="L244" s="5" t="str">
        <f>IF(student_data[[#This Row],[Outstanding Fee]]=0,"Paid",IF(student_data[[#This Row],[Deposit Fee]]=0,"Unpaid","Partially Paid"))</f>
        <v>Partially Paid</v>
      </c>
      <c r="M244" s="5" t="s">
        <v>75</v>
      </c>
      <c r="N244"/>
      <c r="O244"/>
      <c r="P244"/>
      <c r="Q244"/>
      <c r="R244"/>
      <c r="S244"/>
      <c r="T244"/>
      <c r="U244"/>
      <c r="V244"/>
      <c r="W244"/>
    </row>
    <row r="245" spans="1:23" ht="15.4">
      <c r="A245" s="5">
        <v>787</v>
      </c>
      <c r="B245" s="5">
        <v>18787</v>
      </c>
      <c r="C245" s="5" t="s">
        <v>1215</v>
      </c>
      <c r="D245" s="5" t="s">
        <v>241</v>
      </c>
      <c r="E245" s="5" t="s">
        <v>9</v>
      </c>
      <c r="F245" s="5" t="s">
        <v>1363</v>
      </c>
      <c r="G245" s="8">
        <v>45402</v>
      </c>
      <c r="H245" s="8" t="str">
        <f t="shared" si="3"/>
        <v>Apr</v>
      </c>
      <c r="I245" s="5">
        <v>7500</v>
      </c>
      <c r="J245" s="5">
        <v>6900</v>
      </c>
      <c r="K245" s="5">
        <f>student_data[[#This Row],[Total Fee]]-student_data[[#This Row],[Deposit Fee]]</f>
        <v>600</v>
      </c>
      <c r="L245" s="5" t="str">
        <f>IF(student_data[[#This Row],[Outstanding Fee]]=0,"Paid",IF(student_data[[#This Row],[Deposit Fee]]=0,"Unpaid","Partially Paid"))</f>
        <v>Partially Paid</v>
      </c>
      <c r="M245" s="5" t="s">
        <v>75</v>
      </c>
      <c r="N245"/>
      <c r="O245"/>
      <c r="P245"/>
      <c r="Q245"/>
      <c r="R245"/>
      <c r="S245"/>
      <c r="T245"/>
      <c r="U245"/>
      <c r="V245"/>
      <c r="W245"/>
    </row>
    <row r="246" spans="1:23" ht="15.4">
      <c r="A246" s="5">
        <v>788</v>
      </c>
      <c r="B246" s="5">
        <v>18788</v>
      </c>
      <c r="C246" s="5" t="s">
        <v>1216</v>
      </c>
      <c r="D246" s="5" t="s">
        <v>858</v>
      </c>
      <c r="E246" s="5" t="s">
        <v>9</v>
      </c>
      <c r="F246" s="5" t="s">
        <v>1363</v>
      </c>
      <c r="G246" s="8">
        <v>45404</v>
      </c>
      <c r="H246" s="8" t="str">
        <f t="shared" si="3"/>
        <v>Apr</v>
      </c>
      <c r="I246" s="5">
        <v>7500</v>
      </c>
      <c r="J246" s="5">
        <v>7500</v>
      </c>
      <c r="K246" s="5">
        <f>student_data[[#This Row],[Total Fee]]-student_data[[#This Row],[Deposit Fee]]</f>
        <v>0</v>
      </c>
      <c r="L246" s="5" t="str">
        <f>IF(student_data[[#This Row],[Outstanding Fee]]=0,"Paid",IF(student_data[[#This Row],[Deposit Fee]]=0,"Unpaid","Partially Paid"))</f>
        <v>Paid</v>
      </c>
      <c r="M246" s="5" t="s">
        <v>19</v>
      </c>
      <c r="N246"/>
      <c r="O246"/>
      <c r="P246"/>
      <c r="Q246"/>
      <c r="R246"/>
      <c r="S246"/>
      <c r="T246"/>
      <c r="U246"/>
      <c r="V246"/>
      <c r="W246"/>
    </row>
    <row r="247" spans="1:23" ht="15.4">
      <c r="A247" s="5">
        <v>789</v>
      </c>
      <c r="B247" s="5">
        <v>18789</v>
      </c>
      <c r="C247" s="5" t="s">
        <v>1217</v>
      </c>
      <c r="D247" s="5" t="s">
        <v>253</v>
      </c>
      <c r="E247" s="5" t="s">
        <v>25</v>
      </c>
      <c r="F247" s="5" t="s">
        <v>1363</v>
      </c>
      <c r="G247" s="8">
        <v>45404</v>
      </c>
      <c r="H247" s="8" t="str">
        <f t="shared" si="3"/>
        <v>Apr</v>
      </c>
      <c r="I247" s="5">
        <v>7500</v>
      </c>
      <c r="J247" s="5">
        <v>2500</v>
      </c>
      <c r="K247" s="5">
        <f>student_data[[#This Row],[Total Fee]]-student_data[[#This Row],[Deposit Fee]]</f>
        <v>5000</v>
      </c>
      <c r="L247" s="5" t="str">
        <f>IF(student_data[[#This Row],[Outstanding Fee]]=0,"Paid",IF(student_data[[#This Row],[Deposit Fee]]=0,"Unpaid","Partially Paid"))</f>
        <v>Partially Paid</v>
      </c>
      <c r="M247" s="5" t="s">
        <v>47</v>
      </c>
      <c r="N247"/>
      <c r="O247"/>
      <c r="P247"/>
      <c r="Q247"/>
      <c r="R247"/>
      <c r="S247"/>
      <c r="T247"/>
      <c r="U247"/>
      <c r="V247"/>
      <c r="W247"/>
    </row>
    <row r="248" spans="1:23" ht="15.4">
      <c r="A248" s="5">
        <v>790</v>
      </c>
      <c r="B248" s="5">
        <v>18790</v>
      </c>
      <c r="C248" s="5" t="s">
        <v>1218</v>
      </c>
      <c r="D248" s="5" t="s">
        <v>1219</v>
      </c>
      <c r="E248" s="5" t="s">
        <v>25</v>
      </c>
      <c r="F248" s="5" t="s">
        <v>1363</v>
      </c>
      <c r="G248" s="8">
        <v>45404</v>
      </c>
      <c r="H248" s="8" t="str">
        <f t="shared" si="3"/>
        <v>Apr</v>
      </c>
      <c r="I248" s="5">
        <v>7500</v>
      </c>
      <c r="J248" s="5">
        <v>7500</v>
      </c>
      <c r="K248" s="5">
        <f>student_data[[#This Row],[Total Fee]]-student_data[[#This Row],[Deposit Fee]]</f>
        <v>0</v>
      </c>
      <c r="L248" s="5" t="str">
        <f>IF(student_data[[#This Row],[Outstanding Fee]]=0,"Paid",IF(student_data[[#This Row],[Deposit Fee]]=0,"Unpaid","Partially Paid"))</f>
        <v>Paid</v>
      </c>
      <c r="M248" s="5" t="s">
        <v>19</v>
      </c>
      <c r="N248"/>
      <c r="O248"/>
      <c r="P248"/>
      <c r="Q248"/>
      <c r="R248"/>
      <c r="S248"/>
      <c r="T248"/>
      <c r="U248"/>
      <c r="V248"/>
      <c r="W248"/>
    </row>
    <row r="249" spans="1:23" ht="15.4">
      <c r="A249" s="5">
        <v>791</v>
      </c>
      <c r="B249" s="5">
        <v>18791</v>
      </c>
      <c r="C249" s="5" t="s">
        <v>111</v>
      </c>
      <c r="D249" s="5" t="s">
        <v>1124</v>
      </c>
      <c r="E249" s="5" t="s">
        <v>25</v>
      </c>
      <c r="F249" s="5" t="s">
        <v>1363</v>
      </c>
      <c r="G249" s="8">
        <v>45405</v>
      </c>
      <c r="H249" s="8" t="str">
        <f t="shared" si="3"/>
        <v>Apr</v>
      </c>
      <c r="I249" s="5">
        <v>7500</v>
      </c>
      <c r="J249" s="5">
        <v>6900</v>
      </c>
      <c r="K249" s="5">
        <f>student_data[[#This Row],[Total Fee]]-student_data[[#This Row],[Deposit Fee]]</f>
        <v>600</v>
      </c>
      <c r="L249" s="5" t="str">
        <f>IF(student_data[[#This Row],[Outstanding Fee]]=0,"Paid",IF(student_data[[#This Row],[Deposit Fee]]=0,"Unpaid","Partially Paid"))</f>
        <v>Partially Paid</v>
      </c>
      <c r="M249" s="5" t="s">
        <v>47</v>
      </c>
      <c r="N249"/>
      <c r="O249"/>
      <c r="P249"/>
      <c r="Q249"/>
      <c r="R249"/>
      <c r="S249"/>
      <c r="T249"/>
      <c r="U249"/>
      <c r="V249"/>
      <c r="W249"/>
    </row>
    <row r="250" spans="1:23" ht="15.4">
      <c r="A250" s="5">
        <v>815</v>
      </c>
      <c r="B250" s="5">
        <v>18815</v>
      </c>
      <c r="C250" s="5" t="s">
        <v>64</v>
      </c>
      <c r="D250" s="5" t="s">
        <v>1219</v>
      </c>
      <c r="E250" s="5" t="s">
        <v>9</v>
      </c>
      <c r="F250" s="5" t="s">
        <v>1363</v>
      </c>
      <c r="G250" s="8">
        <v>45405</v>
      </c>
      <c r="H250" s="8" t="str">
        <f t="shared" si="3"/>
        <v>Apr</v>
      </c>
      <c r="I250" s="5">
        <v>7500</v>
      </c>
      <c r="J250" s="5">
        <v>6900</v>
      </c>
      <c r="K250" s="5">
        <f>student_data[[#This Row],[Total Fee]]-student_data[[#This Row],[Deposit Fee]]</f>
        <v>600</v>
      </c>
      <c r="L250" s="5" t="str">
        <f>IF(student_data[[#This Row],[Outstanding Fee]]=0,"Paid",IF(student_data[[#This Row],[Deposit Fee]]=0,"Unpaid","Partially Paid"))</f>
        <v>Partially Paid</v>
      </c>
      <c r="M250" s="5" t="s">
        <v>75</v>
      </c>
      <c r="N250"/>
      <c r="O250"/>
      <c r="P250"/>
      <c r="Q250"/>
      <c r="R250"/>
      <c r="S250"/>
      <c r="T250"/>
      <c r="U250"/>
      <c r="V250"/>
      <c r="W250"/>
    </row>
    <row r="251" spans="1:23" ht="15.4">
      <c r="A251" s="5">
        <v>816</v>
      </c>
      <c r="B251" s="5">
        <v>18816</v>
      </c>
      <c r="C251" s="5" t="s">
        <v>1253</v>
      </c>
      <c r="D251" s="5" t="s">
        <v>413</v>
      </c>
      <c r="E251" s="5" t="s">
        <v>9</v>
      </c>
      <c r="F251" s="5" t="s">
        <v>1363</v>
      </c>
      <c r="G251" s="8">
        <v>45405</v>
      </c>
      <c r="H251" s="8" t="str">
        <f t="shared" si="3"/>
        <v>Apr</v>
      </c>
      <c r="I251" s="5">
        <v>7500</v>
      </c>
      <c r="J251" s="5">
        <v>7500</v>
      </c>
      <c r="K251" s="5">
        <f>student_data[[#This Row],[Total Fee]]-student_data[[#This Row],[Deposit Fee]]</f>
        <v>0</v>
      </c>
      <c r="L251" s="5" t="str">
        <f>IF(student_data[[#This Row],[Outstanding Fee]]=0,"Paid",IF(student_data[[#This Row],[Deposit Fee]]=0,"Unpaid","Partially Paid"))</f>
        <v>Paid</v>
      </c>
      <c r="M251" s="5" t="s">
        <v>75</v>
      </c>
      <c r="N251"/>
      <c r="O251"/>
      <c r="P251"/>
      <c r="Q251"/>
      <c r="R251"/>
      <c r="S251"/>
      <c r="T251"/>
      <c r="U251"/>
      <c r="V251"/>
      <c r="W251"/>
    </row>
    <row r="252" spans="1:23" ht="15.4">
      <c r="A252" s="5">
        <v>817</v>
      </c>
      <c r="B252" s="5">
        <v>18817</v>
      </c>
      <c r="C252" s="5" t="s">
        <v>1254</v>
      </c>
      <c r="D252" s="5" t="s">
        <v>1255</v>
      </c>
      <c r="E252" s="5" t="s">
        <v>9</v>
      </c>
      <c r="F252" s="5" t="s">
        <v>1363</v>
      </c>
      <c r="G252" s="8">
        <v>45406</v>
      </c>
      <c r="H252" s="8" t="str">
        <f t="shared" si="3"/>
        <v>Apr</v>
      </c>
      <c r="I252" s="5">
        <v>7500</v>
      </c>
      <c r="J252" s="5">
        <v>7500</v>
      </c>
      <c r="K252" s="5">
        <f>student_data[[#This Row],[Total Fee]]-student_data[[#This Row],[Deposit Fee]]</f>
        <v>0</v>
      </c>
      <c r="L252" s="5" t="str">
        <f>IF(student_data[[#This Row],[Outstanding Fee]]=0,"Paid",IF(student_data[[#This Row],[Deposit Fee]]=0,"Unpaid","Partially Paid"))</f>
        <v>Paid</v>
      </c>
      <c r="M252" s="5" t="s">
        <v>19</v>
      </c>
      <c r="N252"/>
      <c r="O252"/>
      <c r="P252"/>
      <c r="Q252"/>
      <c r="R252"/>
      <c r="S252"/>
      <c r="T252"/>
      <c r="U252"/>
      <c r="V252"/>
      <c r="W252"/>
    </row>
    <row r="253" spans="1:23" ht="15.4">
      <c r="A253" s="5">
        <v>818</v>
      </c>
      <c r="B253" s="5">
        <v>18818</v>
      </c>
      <c r="C253" s="5" t="s">
        <v>1256</v>
      </c>
      <c r="D253" s="5" t="s">
        <v>1257</v>
      </c>
      <c r="E253" s="5" t="s">
        <v>9</v>
      </c>
      <c r="F253" s="5" t="s">
        <v>1363</v>
      </c>
      <c r="G253" s="8">
        <v>45406</v>
      </c>
      <c r="H253" s="8" t="str">
        <f t="shared" si="3"/>
        <v>Apr</v>
      </c>
      <c r="I253" s="5">
        <v>7500</v>
      </c>
      <c r="J253" s="5">
        <v>7500</v>
      </c>
      <c r="K253" s="5">
        <f>student_data[[#This Row],[Total Fee]]-student_data[[#This Row],[Deposit Fee]]</f>
        <v>0</v>
      </c>
      <c r="L253" s="5" t="str">
        <f>IF(student_data[[#This Row],[Outstanding Fee]]=0,"Paid",IF(student_data[[#This Row],[Deposit Fee]]=0,"Unpaid","Partially Paid"))</f>
        <v>Paid</v>
      </c>
      <c r="M253" s="5" t="s">
        <v>47</v>
      </c>
      <c r="N253"/>
      <c r="O253"/>
      <c r="P253"/>
      <c r="Q253"/>
      <c r="R253"/>
      <c r="S253"/>
      <c r="T253"/>
      <c r="U253"/>
      <c r="V253"/>
      <c r="W253"/>
    </row>
    <row r="254" spans="1:23" ht="15.4">
      <c r="A254" s="5">
        <v>819</v>
      </c>
      <c r="B254" s="5">
        <v>18819</v>
      </c>
      <c r="C254" s="5" t="s">
        <v>1258</v>
      </c>
      <c r="D254" s="5" t="s">
        <v>202</v>
      </c>
      <c r="E254" s="5" t="s">
        <v>9</v>
      </c>
      <c r="F254" s="5" t="s">
        <v>1363</v>
      </c>
      <c r="G254" s="8">
        <v>45406</v>
      </c>
      <c r="H254" s="8" t="str">
        <f t="shared" si="3"/>
        <v>Apr</v>
      </c>
      <c r="I254" s="5">
        <v>7500</v>
      </c>
      <c r="J254" s="5">
        <v>7100</v>
      </c>
      <c r="K254" s="5">
        <f>student_data[[#This Row],[Total Fee]]-student_data[[#This Row],[Deposit Fee]]</f>
        <v>400</v>
      </c>
      <c r="L254" s="5" t="str">
        <f>IF(student_data[[#This Row],[Outstanding Fee]]=0,"Paid",IF(student_data[[#This Row],[Deposit Fee]]=0,"Unpaid","Partially Paid"))</f>
        <v>Partially Paid</v>
      </c>
      <c r="M254" s="5" t="s">
        <v>19</v>
      </c>
      <c r="N254"/>
      <c r="O254"/>
      <c r="P254"/>
      <c r="Q254"/>
      <c r="R254"/>
      <c r="S254"/>
      <c r="T254"/>
      <c r="U254"/>
      <c r="V254"/>
      <c r="W254"/>
    </row>
    <row r="255" spans="1:23" ht="15.4">
      <c r="A255" s="5">
        <v>820</v>
      </c>
      <c r="B255" s="5">
        <v>18820</v>
      </c>
      <c r="C255" s="5" t="s">
        <v>899</v>
      </c>
      <c r="D255" s="5" t="s">
        <v>70</v>
      </c>
      <c r="E255" s="5" t="s">
        <v>25</v>
      </c>
      <c r="F255" s="5" t="s">
        <v>1363</v>
      </c>
      <c r="G255" s="8">
        <v>45407</v>
      </c>
      <c r="H255" s="8" t="str">
        <f t="shared" si="3"/>
        <v>Apr</v>
      </c>
      <c r="I255" s="5">
        <v>7500</v>
      </c>
      <c r="J255" s="5">
        <v>6900</v>
      </c>
      <c r="K255" s="5">
        <f>student_data[[#This Row],[Total Fee]]-student_data[[#This Row],[Deposit Fee]]</f>
        <v>600</v>
      </c>
      <c r="L255" s="5" t="str">
        <f>IF(student_data[[#This Row],[Outstanding Fee]]=0,"Paid",IF(student_data[[#This Row],[Deposit Fee]]=0,"Unpaid","Partially Paid"))</f>
        <v>Partially Paid</v>
      </c>
      <c r="M255" s="5" t="s">
        <v>47</v>
      </c>
      <c r="N255"/>
      <c r="O255"/>
      <c r="P255"/>
      <c r="Q255"/>
      <c r="R255"/>
      <c r="S255"/>
      <c r="T255"/>
      <c r="U255"/>
      <c r="V255"/>
      <c r="W255"/>
    </row>
    <row r="256" spans="1:23" ht="15.4">
      <c r="A256" s="5">
        <v>821</v>
      </c>
      <c r="B256" s="5">
        <v>18821</v>
      </c>
      <c r="C256" s="5" t="s">
        <v>1259</v>
      </c>
      <c r="D256" s="5" t="s">
        <v>1260</v>
      </c>
      <c r="E256" s="5" t="s">
        <v>25</v>
      </c>
      <c r="F256" s="5" t="s">
        <v>1363</v>
      </c>
      <c r="G256" s="8">
        <v>45407</v>
      </c>
      <c r="H256" s="8" t="str">
        <f t="shared" si="3"/>
        <v>Apr</v>
      </c>
      <c r="I256" s="5">
        <v>7500</v>
      </c>
      <c r="J256" s="5">
        <v>7100</v>
      </c>
      <c r="K256" s="5">
        <f>student_data[[#This Row],[Total Fee]]-student_data[[#This Row],[Deposit Fee]]</f>
        <v>400</v>
      </c>
      <c r="L256" s="5" t="str">
        <f>IF(student_data[[#This Row],[Outstanding Fee]]=0,"Paid",IF(student_data[[#This Row],[Deposit Fee]]=0,"Unpaid","Partially Paid"))</f>
        <v>Partially Paid</v>
      </c>
      <c r="M256" s="5" t="s">
        <v>75</v>
      </c>
      <c r="N256"/>
      <c r="O256"/>
      <c r="P256"/>
      <c r="Q256"/>
      <c r="R256"/>
      <c r="S256"/>
      <c r="T256"/>
      <c r="U256"/>
      <c r="V256"/>
      <c r="W256"/>
    </row>
    <row r="257" spans="1:23" ht="15.4">
      <c r="A257" s="5">
        <v>822</v>
      </c>
      <c r="B257" s="5">
        <v>18822</v>
      </c>
      <c r="C257" s="5" t="s">
        <v>1261</v>
      </c>
      <c r="D257" s="5" t="s">
        <v>1262</v>
      </c>
      <c r="E257" s="5" t="s">
        <v>25</v>
      </c>
      <c r="F257" s="5" t="s">
        <v>1363</v>
      </c>
      <c r="G257" s="8">
        <v>45409</v>
      </c>
      <c r="H257" s="8" t="str">
        <f t="shared" si="3"/>
        <v>Apr</v>
      </c>
      <c r="I257" s="5">
        <v>7500</v>
      </c>
      <c r="J257" s="5">
        <v>6900</v>
      </c>
      <c r="K257" s="5">
        <f>student_data[[#This Row],[Total Fee]]-student_data[[#This Row],[Deposit Fee]]</f>
        <v>600</v>
      </c>
      <c r="L257" s="5" t="str">
        <f>IF(student_data[[#This Row],[Outstanding Fee]]=0,"Paid",IF(student_data[[#This Row],[Deposit Fee]]=0,"Unpaid","Partially Paid"))</f>
        <v>Partially Paid</v>
      </c>
      <c r="M257" s="5" t="s">
        <v>89</v>
      </c>
      <c r="N257"/>
      <c r="O257"/>
      <c r="P257"/>
      <c r="Q257"/>
      <c r="R257"/>
      <c r="S257"/>
      <c r="T257"/>
      <c r="U257"/>
      <c r="V257"/>
      <c r="W257"/>
    </row>
    <row r="258" spans="1:23" ht="15.4">
      <c r="A258" s="5">
        <v>673</v>
      </c>
      <c r="B258" s="5">
        <v>18673</v>
      </c>
      <c r="C258" s="5" t="s">
        <v>1056</v>
      </c>
      <c r="D258" s="5" t="s">
        <v>1057</v>
      </c>
      <c r="E258" s="5" t="s">
        <v>9</v>
      </c>
      <c r="F258" s="5" t="s">
        <v>1363</v>
      </c>
      <c r="G258" s="8">
        <v>45411</v>
      </c>
      <c r="H258" s="8" t="str">
        <f t="shared" ref="H258:H321" si="4">TEXT(G258,"mmm")</f>
        <v>Apr</v>
      </c>
      <c r="I258" s="5">
        <v>7500</v>
      </c>
      <c r="J258" s="5">
        <v>7500</v>
      </c>
      <c r="K258" s="5">
        <f>student_data[[#This Row],[Total Fee]]-student_data[[#This Row],[Deposit Fee]]</f>
        <v>0</v>
      </c>
      <c r="L258" s="5" t="str">
        <f>IF(student_data[[#This Row],[Outstanding Fee]]=0,"Paid",IF(student_data[[#This Row],[Deposit Fee]]=0,"Unpaid","Partially Paid"))</f>
        <v>Paid</v>
      </c>
      <c r="M258" s="5" t="s">
        <v>26</v>
      </c>
      <c r="N258"/>
      <c r="O258"/>
      <c r="P258"/>
      <c r="Q258"/>
      <c r="R258"/>
      <c r="S258"/>
      <c r="T258"/>
      <c r="U258"/>
      <c r="V258"/>
      <c r="W258"/>
    </row>
    <row r="259" spans="1:23" ht="15.4">
      <c r="A259" s="5">
        <v>823</v>
      </c>
      <c r="B259" s="5">
        <v>18823</v>
      </c>
      <c r="C259" s="5" t="s">
        <v>1263</v>
      </c>
      <c r="D259" s="5" t="s">
        <v>1264</v>
      </c>
      <c r="E259" s="5" t="s">
        <v>9</v>
      </c>
      <c r="F259" s="5" t="s">
        <v>1363</v>
      </c>
      <c r="G259" s="8">
        <v>45411</v>
      </c>
      <c r="H259" s="8" t="str">
        <f t="shared" si="4"/>
        <v>Apr</v>
      </c>
      <c r="I259" s="5">
        <v>7500</v>
      </c>
      <c r="J259" s="5">
        <v>7500</v>
      </c>
      <c r="K259" s="5">
        <f>student_data[[#This Row],[Total Fee]]-student_data[[#This Row],[Deposit Fee]]</f>
        <v>0</v>
      </c>
      <c r="L259" s="5" t="str">
        <f>IF(student_data[[#This Row],[Outstanding Fee]]=0,"Paid",IF(student_data[[#This Row],[Deposit Fee]]=0,"Unpaid","Partially Paid"))</f>
        <v>Paid</v>
      </c>
      <c r="M259" s="5" t="s">
        <v>29</v>
      </c>
      <c r="N259"/>
      <c r="O259"/>
      <c r="P259"/>
      <c r="Q259"/>
      <c r="R259"/>
      <c r="S259"/>
      <c r="T259"/>
      <c r="U259"/>
      <c r="V259"/>
      <c r="W259"/>
    </row>
    <row r="260" spans="1:23" ht="15.4">
      <c r="A260" s="5">
        <v>824</v>
      </c>
      <c r="B260" s="5">
        <v>18824</v>
      </c>
      <c r="C260" s="5" t="s">
        <v>1265</v>
      </c>
      <c r="D260" s="5" t="s">
        <v>858</v>
      </c>
      <c r="E260" s="5" t="s">
        <v>9</v>
      </c>
      <c r="F260" s="5" t="s">
        <v>1363</v>
      </c>
      <c r="G260" s="8">
        <v>45411</v>
      </c>
      <c r="H260" s="8" t="str">
        <f t="shared" si="4"/>
        <v>Apr</v>
      </c>
      <c r="I260" s="5">
        <v>7500</v>
      </c>
      <c r="J260" s="5">
        <v>7500</v>
      </c>
      <c r="K260" s="5">
        <f>student_data[[#This Row],[Total Fee]]-student_data[[#This Row],[Deposit Fee]]</f>
        <v>0</v>
      </c>
      <c r="L260" s="5" t="str">
        <f>IF(student_data[[#This Row],[Outstanding Fee]]=0,"Paid",IF(student_data[[#This Row],[Deposit Fee]]=0,"Unpaid","Partially Paid"))</f>
        <v>Paid</v>
      </c>
      <c r="M260" s="5" t="s">
        <v>10</v>
      </c>
      <c r="N260"/>
      <c r="O260"/>
      <c r="P260"/>
      <c r="Q260"/>
      <c r="R260"/>
      <c r="S260"/>
      <c r="T260"/>
      <c r="U260"/>
      <c r="V260"/>
      <c r="W260"/>
    </row>
    <row r="261" spans="1:23" ht="15.4">
      <c r="A261" s="5">
        <v>674</v>
      </c>
      <c r="B261" s="5">
        <v>18674</v>
      </c>
      <c r="C261" s="5" t="s">
        <v>1058</v>
      </c>
      <c r="D261" s="5" t="s">
        <v>1059</v>
      </c>
      <c r="E261" s="5" t="s">
        <v>9</v>
      </c>
      <c r="F261" s="5" t="s">
        <v>1363</v>
      </c>
      <c r="G261" s="8">
        <v>45412</v>
      </c>
      <c r="H261" s="8" t="str">
        <f t="shared" si="4"/>
        <v>Apr</v>
      </c>
      <c r="I261" s="5">
        <v>7500</v>
      </c>
      <c r="J261" s="5">
        <v>6900</v>
      </c>
      <c r="K261" s="5">
        <f>student_data[[#This Row],[Total Fee]]-student_data[[#This Row],[Deposit Fee]]</f>
        <v>600</v>
      </c>
      <c r="L261" s="5" t="str">
        <f>IF(student_data[[#This Row],[Outstanding Fee]]=0,"Paid",IF(student_data[[#This Row],[Deposit Fee]]=0,"Unpaid","Partially Paid"))</f>
        <v>Partially Paid</v>
      </c>
      <c r="M261" s="5" t="s">
        <v>10</v>
      </c>
      <c r="N261"/>
      <c r="O261"/>
      <c r="P261"/>
      <c r="Q261"/>
      <c r="R261"/>
      <c r="S261"/>
      <c r="T261"/>
      <c r="U261"/>
      <c r="V261"/>
      <c r="W261"/>
    </row>
    <row r="262" spans="1:23" ht="15.4">
      <c r="A262" s="5">
        <v>675</v>
      </c>
      <c r="B262" s="5">
        <v>18675</v>
      </c>
      <c r="C262" s="5" t="s">
        <v>1060</v>
      </c>
      <c r="D262" s="5" t="s">
        <v>1061</v>
      </c>
      <c r="E262" s="5" t="s">
        <v>9</v>
      </c>
      <c r="F262" s="5" t="s">
        <v>1363</v>
      </c>
      <c r="G262" s="8">
        <v>45412</v>
      </c>
      <c r="H262" s="8" t="str">
        <f t="shared" si="4"/>
        <v>Apr</v>
      </c>
      <c r="I262" s="5">
        <v>7500</v>
      </c>
      <c r="J262" s="5">
        <v>6900</v>
      </c>
      <c r="K262" s="5">
        <f>student_data[[#This Row],[Total Fee]]-student_data[[#This Row],[Deposit Fee]]</f>
        <v>600</v>
      </c>
      <c r="L262" s="5" t="str">
        <f>IF(student_data[[#This Row],[Outstanding Fee]]=0,"Paid",IF(student_data[[#This Row],[Deposit Fee]]=0,"Unpaid","Partially Paid"))</f>
        <v>Partially Paid</v>
      </c>
      <c r="M262" s="5" t="s">
        <v>47</v>
      </c>
      <c r="N262"/>
      <c r="O262"/>
      <c r="P262"/>
      <c r="Q262"/>
      <c r="R262"/>
      <c r="S262"/>
      <c r="T262"/>
      <c r="U262"/>
      <c r="V262"/>
      <c r="W262"/>
    </row>
    <row r="263" spans="1:23" ht="15.4">
      <c r="A263" s="5">
        <v>676</v>
      </c>
      <c r="B263" s="5">
        <v>18676</v>
      </c>
      <c r="C263" s="5" t="s">
        <v>1062</v>
      </c>
      <c r="D263" s="5" t="s">
        <v>1063</v>
      </c>
      <c r="E263" s="5" t="s">
        <v>25</v>
      </c>
      <c r="F263" s="5" t="s">
        <v>1363</v>
      </c>
      <c r="G263" s="8">
        <v>45412</v>
      </c>
      <c r="H263" s="8" t="str">
        <f t="shared" si="4"/>
        <v>Apr</v>
      </c>
      <c r="I263" s="5">
        <v>7500</v>
      </c>
      <c r="J263" s="5">
        <v>7500</v>
      </c>
      <c r="K263" s="5">
        <f>student_data[[#This Row],[Total Fee]]-student_data[[#This Row],[Deposit Fee]]</f>
        <v>0</v>
      </c>
      <c r="L263" s="5" t="str">
        <f>IF(student_data[[#This Row],[Outstanding Fee]]=0,"Paid",IF(student_data[[#This Row],[Deposit Fee]]=0,"Unpaid","Partially Paid"))</f>
        <v>Paid</v>
      </c>
      <c r="M263" s="5" t="s">
        <v>50</v>
      </c>
      <c r="N263"/>
      <c r="O263"/>
      <c r="P263"/>
      <c r="Q263"/>
      <c r="R263"/>
      <c r="S263"/>
      <c r="T263"/>
      <c r="U263"/>
      <c r="V263"/>
      <c r="W263"/>
    </row>
    <row r="264" spans="1:23" ht="15.4">
      <c r="A264" s="5">
        <v>677</v>
      </c>
      <c r="B264" s="5">
        <v>18677</v>
      </c>
      <c r="C264" s="5" t="s">
        <v>1064</v>
      </c>
      <c r="D264" s="5" t="s">
        <v>1065</v>
      </c>
      <c r="E264" s="5" t="s">
        <v>25</v>
      </c>
      <c r="F264" s="5" t="s">
        <v>1363</v>
      </c>
      <c r="G264" s="8">
        <v>45413</v>
      </c>
      <c r="H264" s="8" t="str">
        <f t="shared" si="4"/>
        <v>May</v>
      </c>
      <c r="I264" s="5">
        <v>7500</v>
      </c>
      <c r="J264" s="5">
        <v>7500</v>
      </c>
      <c r="K264" s="5">
        <f>student_data[[#This Row],[Total Fee]]-student_data[[#This Row],[Deposit Fee]]</f>
        <v>0</v>
      </c>
      <c r="L264" s="5" t="str">
        <f>IF(student_data[[#This Row],[Outstanding Fee]]=0,"Paid",IF(student_data[[#This Row],[Deposit Fee]]=0,"Unpaid","Partially Paid"))</f>
        <v>Paid</v>
      </c>
      <c r="M264" s="5" t="s">
        <v>53</v>
      </c>
      <c r="N264"/>
      <c r="O264"/>
      <c r="P264"/>
      <c r="Q264"/>
      <c r="R264"/>
      <c r="S264"/>
      <c r="T264"/>
      <c r="U264"/>
      <c r="V264"/>
      <c r="W264"/>
    </row>
    <row r="265" spans="1:23" ht="15.4">
      <c r="A265" s="5">
        <v>678</v>
      </c>
      <c r="B265" s="5">
        <v>18678</v>
      </c>
      <c r="C265" s="5" t="s">
        <v>1066</v>
      </c>
      <c r="D265" s="5" t="s">
        <v>1067</v>
      </c>
      <c r="E265" s="5" t="s">
        <v>9</v>
      </c>
      <c r="F265" s="5" t="s">
        <v>1363</v>
      </c>
      <c r="G265" s="8">
        <v>45413</v>
      </c>
      <c r="H265" s="8" t="str">
        <f t="shared" si="4"/>
        <v>May</v>
      </c>
      <c r="I265" s="5">
        <v>7500</v>
      </c>
      <c r="J265" s="5">
        <v>7100</v>
      </c>
      <c r="K265" s="5">
        <f>student_data[[#This Row],[Total Fee]]-student_data[[#This Row],[Deposit Fee]]</f>
        <v>400</v>
      </c>
      <c r="L265" s="5" t="str">
        <f>IF(student_data[[#This Row],[Outstanding Fee]]=0,"Paid",IF(student_data[[#This Row],[Deposit Fee]]=0,"Unpaid","Partially Paid"))</f>
        <v>Partially Paid</v>
      </c>
      <c r="M265" s="5" t="s">
        <v>50</v>
      </c>
      <c r="N265"/>
      <c r="O265"/>
      <c r="P265"/>
      <c r="Q265"/>
      <c r="R265"/>
      <c r="S265"/>
      <c r="T265"/>
      <c r="U265"/>
      <c r="V265"/>
      <c r="W265"/>
    </row>
    <row r="266" spans="1:23" ht="15.4">
      <c r="A266" s="5">
        <v>679</v>
      </c>
      <c r="B266" s="5">
        <v>18679</v>
      </c>
      <c r="C266" s="5" t="s">
        <v>1068</v>
      </c>
      <c r="D266" s="5" t="s">
        <v>164</v>
      </c>
      <c r="E266" s="5" t="s">
        <v>25</v>
      </c>
      <c r="F266" s="5" t="s">
        <v>1363</v>
      </c>
      <c r="G266" s="8">
        <v>45413</v>
      </c>
      <c r="H266" s="8" t="str">
        <f t="shared" si="4"/>
        <v>May</v>
      </c>
      <c r="I266" s="5">
        <v>7500</v>
      </c>
      <c r="J266" s="5">
        <v>7500</v>
      </c>
      <c r="K266" s="5">
        <f>student_data[[#This Row],[Total Fee]]-student_data[[#This Row],[Deposit Fee]]</f>
        <v>0</v>
      </c>
      <c r="L266" s="5" t="str">
        <f>IF(student_data[[#This Row],[Outstanding Fee]]=0,"Paid",IF(student_data[[#This Row],[Deposit Fee]]=0,"Unpaid","Partially Paid"))</f>
        <v>Paid</v>
      </c>
      <c r="M266" s="5" t="s">
        <v>53</v>
      </c>
      <c r="N266"/>
      <c r="O266"/>
      <c r="P266"/>
      <c r="Q266"/>
      <c r="R266"/>
      <c r="S266"/>
      <c r="T266"/>
      <c r="U266"/>
      <c r="V266"/>
      <c r="W266"/>
    </row>
    <row r="267" spans="1:23" ht="15.4">
      <c r="A267" s="5">
        <v>680</v>
      </c>
      <c r="B267" s="5">
        <v>18680</v>
      </c>
      <c r="C267" s="5" t="s">
        <v>1069</v>
      </c>
      <c r="D267" s="5" t="s">
        <v>616</v>
      </c>
      <c r="E267" s="5" t="s">
        <v>9</v>
      </c>
      <c r="F267" s="5" t="s">
        <v>1363</v>
      </c>
      <c r="G267" s="8">
        <v>45414</v>
      </c>
      <c r="H267" s="8" t="str">
        <f t="shared" si="4"/>
        <v>May</v>
      </c>
      <c r="I267" s="5">
        <v>7500</v>
      </c>
      <c r="J267" s="5">
        <v>6900</v>
      </c>
      <c r="K267" s="5">
        <f>student_data[[#This Row],[Total Fee]]-student_data[[#This Row],[Deposit Fee]]</f>
        <v>600</v>
      </c>
      <c r="L267" s="5" t="str">
        <f>IF(student_data[[#This Row],[Outstanding Fee]]=0,"Paid",IF(student_data[[#This Row],[Deposit Fee]]=0,"Unpaid","Partially Paid"))</f>
        <v>Partially Paid</v>
      </c>
      <c r="M267" s="5" t="s">
        <v>53</v>
      </c>
      <c r="N267"/>
      <c r="O267"/>
      <c r="P267"/>
      <c r="Q267"/>
      <c r="R267"/>
      <c r="S267"/>
      <c r="T267"/>
      <c r="U267"/>
      <c r="V267"/>
      <c r="W267"/>
    </row>
    <row r="268" spans="1:23" ht="15.4">
      <c r="A268" s="5">
        <v>681</v>
      </c>
      <c r="B268" s="5">
        <v>18681</v>
      </c>
      <c r="C268" s="5" t="s">
        <v>1070</v>
      </c>
      <c r="D268" s="5" t="s">
        <v>759</v>
      </c>
      <c r="E268" s="5" t="s">
        <v>9</v>
      </c>
      <c r="F268" s="5" t="s">
        <v>1363</v>
      </c>
      <c r="G268" s="8">
        <v>45414</v>
      </c>
      <c r="H268" s="8" t="str">
        <f t="shared" si="4"/>
        <v>May</v>
      </c>
      <c r="I268" s="5">
        <v>7500</v>
      </c>
      <c r="J268" s="5">
        <v>7100</v>
      </c>
      <c r="K268" s="5">
        <f>student_data[[#This Row],[Total Fee]]-student_data[[#This Row],[Deposit Fee]]</f>
        <v>400</v>
      </c>
      <c r="L268" s="5" t="str">
        <f>IF(student_data[[#This Row],[Outstanding Fee]]=0,"Paid",IF(student_data[[#This Row],[Deposit Fee]]=0,"Unpaid","Partially Paid"))</f>
        <v>Partially Paid</v>
      </c>
      <c r="M268" s="5" t="s">
        <v>50</v>
      </c>
      <c r="N268"/>
      <c r="O268"/>
      <c r="P268"/>
      <c r="Q268"/>
      <c r="R268"/>
      <c r="S268"/>
      <c r="T268"/>
      <c r="U268"/>
      <c r="V268"/>
      <c r="W268"/>
    </row>
    <row r="269" spans="1:23" ht="15.4">
      <c r="A269" s="5">
        <v>682</v>
      </c>
      <c r="B269" s="5">
        <v>18682</v>
      </c>
      <c r="C269" s="5" t="s">
        <v>1071</v>
      </c>
      <c r="D269" s="5" t="s">
        <v>127</v>
      </c>
      <c r="E269" s="5" t="s">
        <v>9</v>
      </c>
      <c r="F269" s="5" t="s">
        <v>1363</v>
      </c>
      <c r="G269" s="8">
        <v>45414</v>
      </c>
      <c r="H269" s="8" t="str">
        <f t="shared" si="4"/>
        <v>May</v>
      </c>
      <c r="I269" s="5">
        <v>7500</v>
      </c>
      <c r="J269" s="5">
        <v>6900</v>
      </c>
      <c r="K269" s="5">
        <f>student_data[[#This Row],[Total Fee]]-student_data[[#This Row],[Deposit Fee]]</f>
        <v>600</v>
      </c>
      <c r="L269" s="5" t="str">
        <f>IF(student_data[[#This Row],[Outstanding Fee]]=0,"Paid",IF(student_data[[#This Row],[Deposit Fee]]=0,"Unpaid","Partially Paid"))</f>
        <v>Partially Paid</v>
      </c>
      <c r="M269" s="5" t="s">
        <v>13</v>
      </c>
      <c r="N269"/>
      <c r="O269"/>
      <c r="P269"/>
      <c r="Q269"/>
      <c r="R269"/>
      <c r="S269"/>
      <c r="T269"/>
      <c r="U269"/>
      <c r="V269"/>
      <c r="W269"/>
    </row>
    <row r="270" spans="1:23" ht="15.4">
      <c r="A270" s="5">
        <v>683</v>
      </c>
      <c r="B270" s="5">
        <v>18683</v>
      </c>
      <c r="C270" s="5" t="s">
        <v>1072</v>
      </c>
      <c r="D270" s="5" t="s">
        <v>410</v>
      </c>
      <c r="E270" s="5" t="s">
        <v>25</v>
      </c>
      <c r="F270" s="5" t="s">
        <v>1363</v>
      </c>
      <c r="G270" s="8">
        <v>45415</v>
      </c>
      <c r="H270" s="8" t="str">
        <f t="shared" si="4"/>
        <v>May</v>
      </c>
      <c r="I270" s="5">
        <v>7500</v>
      </c>
      <c r="J270" s="5">
        <v>7500</v>
      </c>
      <c r="K270" s="5">
        <f>student_data[[#This Row],[Total Fee]]-student_data[[#This Row],[Deposit Fee]]</f>
        <v>0</v>
      </c>
      <c r="L270" s="5" t="str">
        <f>IF(student_data[[#This Row],[Outstanding Fee]]=0,"Paid",IF(student_data[[#This Row],[Deposit Fee]]=0,"Unpaid","Partially Paid"))</f>
        <v>Paid</v>
      </c>
      <c r="M270" s="5" t="s">
        <v>66</v>
      </c>
      <c r="N270"/>
      <c r="O270"/>
      <c r="P270"/>
      <c r="Q270"/>
      <c r="R270"/>
      <c r="S270"/>
      <c r="T270"/>
      <c r="U270"/>
      <c r="V270"/>
      <c r="W270"/>
    </row>
    <row r="271" spans="1:23" ht="15.4">
      <c r="A271" s="5">
        <v>684</v>
      </c>
      <c r="B271" s="5">
        <v>18684</v>
      </c>
      <c r="C271" s="5" t="s">
        <v>1073</v>
      </c>
      <c r="D271" s="5" t="s">
        <v>1074</v>
      </c>
      <c r="E271" s="5" t="s">
        <v>25</v>
      </c>
      <c r="F271" s="5" t="s">
        <v>1363</v>
      </c>
      <c r="G271" s="8">
        <v>45415</v>
      </c>
      <c r="H271" s="8" t="str">
        <f t="shared" si="4"/>
        <v>May</v>
      </c>
      <c r="I271" s="5">
        <v>7500</v>
      </c>
      <c r="J271" s="5">
        <v>7500</v>
      </c>
      <c r="K271" s="5">
        <f>student_data[[#This Row],[Total Fee]]-student_data[[#This Row],[Deposit Fee]]</f>
        <v>0</v>
      </c>
      <c r="L271" s="5" t="str">
        <f>IF(student_data[[#This Row],[Outstanding Fee]]=0,"Paid",IF(student_data[[#This Row],[Deposit Fee]]=0,"Unpaid","Partially Paid"))</f>
        <v>Paid</v>
      </c>
      <c r="M271" s="5" t="s">
        <v>22</v>
      </c>
      <c r="N271"/>
      <c r="O271"/>
      <c r="P271"/>
      <c r="Q271"/>
      <c r="R271"/>
      <c r="S271"/>
      <c r="T271"/>
      <c r="U271"/>
      <c r="V271"/>
      <c r="W271"/>
    </row>
    <row r="272" spans="1:23" ht="15.4">
      <c r="A272" s="5">
        <v>685</v>
      </c>
      <c r="B272" s="5">
        <v>18685</v>
      </c>
      <c r="C272" s="5" t="s">
        <v>1075</v>
      </c>
      <c r="D272" s="5" t="s">
        <v>133</v>
      </c>
      <c r="E272" s="5" t="s">
        <v>9</v>
      </c>
      <c r="F272" s="5" t="s">
        <v>1363</v>
      </c>
      <c r="G272" s="8">
        <v>45415</v>
      </c>
      <c r="H272" s="8" t="str">
        <f t="shared" si="4"/>
        <v>May</v>
      </c>
      <c r="I272" s="5">
        <v>7500</v>
      </c>
      <c r="J272" s="5">
        <v>7500</v>
      </c>
      <c r="K272" s="5">
        <f>student_data[[#This Row],[Total Fee]]-student_data[[#This Row],[Deposit Fee]]</f>
        <v>0</v>
      </c>
      <c r="L272" s="5" t="str">
        <f>IF(student_data[[#This Row],[Outstanding Fee]]=0,"Paid",IF(student_data[[#This Row],[Deposit Fee]]=0,"Unpaid","Partially Paid"))</f>
        <v>Paid</v>
      </c>
      <c r="M272" s="5" t="s">
        <v>26</v>
      </c>
      <c r="N272"/>
      <c r="O272"/>
      <c r="P272"/>
      <c r="Q272"/>
      <c r="R272"/>
      <c r="S272"/>
      <c r="T272"/>
      <c r="U272"/>
      <c r="V272"/>
      <c r="W272"/>
    </row>
    <row r="273" spans="1:23" ht="15.4">
      <c r="A273" s="5">
        <v>686</v>
      </c>
      <c r="B273" s="5">
        <v>18686</v>
      </c>
      <c r="C273" s="5" t="s">
        <v>1076</v>
      </c>
      <c r="D273" s="5" t="s">
        <v>40</v>
      </c>
      <c r="E273" s="5" t="s">
        <v>9</v>
      </c>
      <c r="F273" s="5" t="s">
        <v>1363</v>
      </c>
      <c r="G273" s="8">
        <v>45416</v>
      </c>
      <c r="H273" s="8" t="str">
        <f t="shared" si="4"/>
        <v>May</v>
      </c>
      <c r="I273" s="5">
        <v>7500</v>
      </c>
      <c r="J273" s="5">
        <v>7500</v>
      </c>
      <c r="K273" s="5">
        <f>student_data[[#This Row],[Total Fee]]-student_data[[#This Row],[Deposit Fee]]</f>
        <v>0</v>
      </c>
      <c r="L273" s="5" t="str">
        <f>IF(student_data[[#This Row],[Outstanding Fee]]=0,"Paid",IF(student_data[[#This Row],[Deposit Fee]]=0,"Unpaid","Partially Paid"))</f>
        <v>Paid</v>
      </c>
      <c r="M273" s="5" t="s">
        <v>26</v>
      </c>
      <c r="N273"/>
      <c r="O273"/>
      <c r="P273"/>
      <c r="Q273"/>
      <c r="R273"/>
      <c r="S273"/>
      <c r="T273"/>
      <c r="U273"/>
      <c r="V273"/>
      <c r="W273"/>
    </row>
    <row r="274" spans="1:23" ht="15.4">
      <c r="A274" s="5">
        <v>687</v>
      </c>
      <c r="B274" s="5">
        <v>18687</v>
      </c>
      <c r="C274" s="5" t="s">
        <v>1077</v>
      </c>
      <c r="D274" s="5" t="s">
        <v>453</v>
      </c>
      <c r="E274" s="5" t="s">
        <v>9</v>
      </c>
      <c r="F274" s="5" t="s">
        <v>1363</v>
      </c>
      <c r="G274" s="8">
        <v>45416</v>
      </c>
      <c r="H274" s="8" t="str">
        <f t="shared" si="4"/>
        <v>May</v>
      </c>
      <c r="I274" s="5">
        <v>7500</v>
      </c>
      <c r="J274" s="5">
        <v>6900</v>
      </c>
      <c r="K274" s="5">
        <f>student_data[[#This Row],[Total Fee]]-student_data[[#This Row],[Deposit Fee]]</f>
        <v>600</v>
      </c>
      <c r="L274" s="5" t="str">
        <f>IF(student_data[[#This Row],[Outstanding Fee]]=0,"Paid",IF(student_data[[#This Row],[Deposit Fee]]=0,"Unpaid","Partially Paid"))</f>
        <v>Partially Paid</v>
      </c>
      <c r="M274" s="5" t="s">
        <v>75</v>
      </c>
      <c r="N274"/>
      <c r="O274"/>
      <c r="P274"/>
      <c r="Q274"/>
      <c r="R274"/>
      <c r="S274"/>
      <c r="T274"/>
      <c r="U274"/>
      <c r="V274"/>
      <c r="W274"/>
    </row>
    <row r="275" spans="1:23" ht="15.4">
      <c r="A275" s="5">
        <v>688</v>
      </c>
      <c r="B275" s="5">
        <v>18688</v>
      </c>
      <c r="C275" s="5" t="s">
        <v>1078</v>
      </c>
      <c r="D275" s="5" t="s">
        <v>37</v>
      </c>
      <c r="E275" s="5" t="s">
        <v>25</v>
      </c>
      <c r="F275" s="5" t="s">
        <v>1363</v>
      </c>
      <c r="G275" s="8">
        <v>45416</v>
      </c>
      <c r="H275" s="8" t="str">
        <f t="shared" si="4"/>
        <v>May</v>
      </c>
      <c r="I275" s="5">
        <v>7500</v>
      </c>
      <c r="J275" s="5">
        <v>900</v>
      </c>
      <c r="K275" s="5">
        <f>student_data[[#This Row],[Total Fee]]-student_data[[#This Row],[Deposit Fee]]</f>
        <v>6600</v>
      </c>
      <c r="L275" s="5" t="str">
        <f>IF(student_data[[#This Row],[Outstanding Fee]]=0,"Paid",IF(student_data[[#This Row],[Deposit Fee]]=0,"Unpaid","Partially Paid"))</f>
        <v>Partially Paid</v>
      </c>
      <c r="M275" s="5" t="s">
        <v>78</v>
      </c>
      <c r="N275"/>
      <c r="O275"/>
      <c r="P275"/>
      <c r="Q275"/>
      <c r="R275"/>
      <c r="S275"/>
      <c r="T275"/>
      <c r="U275"/>
      <c r="V275"/>
      <c r="W275"/>
    </row>
    <row r="276" spans="1:23" ht="15.4">
      <c r="A276" s="5">
        <v>689</v>
      </c>
      <c r="B276" s="5">
        <v>18689</v>
      </c>
      <c r="C276" s="5" t="s">
        <v>1042</v>
      </c>
      <c r="D276" s="5" t="s">
        <v>1079</v>
      </c>
      <c r="E276" s="5" t="s">
        <v>9</v>
      </c>
      <c r="F276" s="5" t="s">
        <v>1363</v>
      </c>
      <c r="G276" s="8">
        <v>45418</v>
      </c>
      <c r="H276" s="8" t="str">
        <f t="shared" si="4"/>
        <v>May</v>
      </c>
      <c r="I276" s="5">
        <v>7500</v>
      </c>
      <c r="J276" s="5">
        <v>7500</v>
      </c>
      <c r="K276" s="5">
        <f>student_data[[#This Row],[Total Fee]]-student_data[[#This Row],[Deposit Fee]]</f>
        <v>0</v>
      </c>
      <c r="L276" s="5" t="str">
        <f>IF(student_data[[#This Row],[Outstanding Fee]]=0,"Paid",IF(student_data[[#This Row],[Deposit Fee]]=0,"Unpaid","Partially Paid"))</f>
        <v>Paid</v>
      </c>
      <c r="M276" s="5" t="s">
        <v>16</v>
      </c>
      <c r="N276"/>
      <c r="O276"/>
      <c r="P276"/>
      <c r="Q276"/>
      <c r="R276"/>
      <c r="S276"/>
      <c r="T276"/>
      <c r="U276"/>
      <c r="V276"/>
      <c r="W276"/>
    </row>
    <row r="277" spans="1:23" ht="15.4">
      <c r="A277" s="5">
        <v>690</v>
      </c>
      <c r="B277" s="5">
        <v>18690</v>
      </c>
      <c r="C277" s="5" t="s">
        <v>1080</v>
      </c>
      <c r="D277" s="5" t="s">
        <v>1081</v>
      </c>
      <c r="E277" s="5" t="s">
        <v>9</v>
      </c>
      <c r="F277" s="5" t="s">
        <v>1363</v>
      </c>
      <c r="G277" s="8">
        <v>45418</v>
      </c>
      <c r="H277" s="8" t="str">
        <f t="shared" si="4"/>
        <v>May</v>
      </c>
      <c r="I277" s="5">
        <v>7500</v>
      </c>
      <c r="J277" s="5">
        <v>7100</v>
      </c>
      <c r="K277" s="5">
        <f>student_data[[#This Row],[Total Fee]]-student_data[[#This Row],[Deposit Fee]]</f>
        <v>400</v>
      </c>
      <c r="L277" s="5" t="str">
        <f>IF(student_data[[#This Row],[Outstanding Fee]]=0,"Paid",IF(student_data[[#This Row],[Deposit Fee]]=0,"Unpaid","Partially Paid"))</f>
        <v>Partially Paid</v>
      </c>
      <c r="M277" s="5" t="s">
        <v>66</v>
      </c>
      <c r="N277"/>
      <c r="O277"/>
      <c r="P277"/>
      <c r="Q277"/>
      <c r="R277"/>
      <c r="S277"/>
      <c r="T277"/>
      <c r="U277"/>
      <c r="V277"/>
      <c r="W277"/>
    </row>
    <row r="278" spans="1:23" ht="15.4">
      <c r="A278" s="5">
        <v>691</v>
      </c>
      <c r="B278" s="5">
        <v>18691</v>
      </c>
      <c r="C278" s="5" t="s">
        <v>1082</v>
      </c>
      <c r="D278" s="5" t="s">
        <v>1083</v>
      </c>
      <c r="E278" s="5" t="s">
        <v>9</v>
      </c>
      <c r="F278" s="5" t="s">
        <v>1363</v>
      </c>
      <c r="G278" s="8">
        <v>45418</v>
      </c>
      <c r="H278" s="8" t="str">
        <f t="shared" si="4"/>
        <v>May</v>
      </c>
      <c r="I278" s="5">
        <v>7500</v>
      </c>
      <c r="J278" s="5">
        <v>800</v>
      </c>
      <c r="K278" s="5">
        <f>student_data[[#This Row],[Total Fee]]-student_data[[#This Row],[Deposit Fee]]</f>
        <v>6700</v>
      </c>
      <c r="L278" s="5" t="str">
        <f>IF(student_data[[#This Row],[Outstanding Fee]]=0,"Paid",IF(student_data[[#This Row],[Deposit Fee]]=0,"Unpaid","Partially Paid"))</f>
        <v>Partially Paid</v>
      </c>
      <c r="M278" s="5" t="s">
        <v>66</v>
      </c>
      <c r="N278"/>
      <c r="O278"/>
      <c r="P278"/>
      <c r="Q278"/>
      <c r="R278"/>
      <c r="S278"/>
      <c r="T278"/>
      <c r="U278"/>
      <c r="V278"/>
      <c r="W278"/>
    </row>
    <row r="279" spans="1:23" ht="15.4">
      <c r="A279" s="5">
        <v>68</v>
      </c>
      <c r="B279" s="5">
        <v>18068</v>
      </c>
      <c r="C279" s="5" t="s">
        <v>140</v>
      </c>
      <c r="D279" s="5" t="s">
        <v>141</v>
      </c>
      <c r="E279" s="5" t="s">
        <v>25</v>
      </c>
      <c r="F279" s="5" t="s">
        <v>1363</v>
      </c>
      <c r="G279" s="8">
        <v>45419</v>
      </c>
      <c r="H279" s="8" t="str">
        <f t="shared" si="4"/>
        <v>May</v>
      </c>
      <c r="I279" s="5">
        <v>7500</v>
      </c>
      <c r="J279" s="5">
        <v>6900</v>
      </c>
      <c r="K279" s="5">
        <f>student_data[[#This Row],[Total Fee]]-student_data[[#This Row],[Deposit Fee]]</f>
        <v>600</v>
      </c>
      <c r="L279" s="5" t="str">
        <f>IF(student_data[[#This Row],[Outstanding Fee]]=0,"Paid",IF(student_data[[#This Row],[Deposit Fee]]=0,"Unpaid","Partially Paid"))</f>
        <v>Partially Paid</v>
      </c>
      <c r="M279" s="5" t="s">
        <v>10</v>
      </c>
      <c r="N279"/>
      <c r="O279"/>
      <c r="P279"/>
      <c r="Q279"/>
      <c r="R279"/>
      <c r="S279"/>
      <c r="T279"/>
      <c r="U279"/>
      <c r="V279"/>
      <c r="W279"/>
    </row>
    <row r="280" spans="1:23" ht="15.4">
      <c r="A280" s="5">
        <v>692</v>
      </c>
      <c r="B280" s="5">
        <v>18692</v>
      </c>
      <c r="C280" s="5" t="s">
        <v>172</v>
      </c>
      <c r="D280" s="5" t="s">
        <v>1084</v>
      </c>
      <c r="E280" s="5" t="s">
        <v>25</v>
      </c>
      <c r="F280" s="5" t="s">
        <v>1363</v>
      </c>
      <c r="G280" s="8">
        <v>45419</v>
      </c>
      <c r="H280" s="8" t="str">
        <f t="shared" si="4"/>
        <v>May</v>
      </c>
      <c r="I280" s="5">
        <v>7500</v>
      </c>
      <c r="J280" s="5">
        <v>6900</v>
      </c>
      <c r="K280" s="5">
        <f>student_data[[#This Row],[Total Fee]]-student_data[[#This Row],[Deposit Fee]]</f>
        <v>600</v>
      </c>
      <c r="L280" s="5" t="str">
        <f>IF(student_data[[#This Row],[Outstanding Fee]]=0,"Paid",IF(student_data[[#This Row],[Deposit Fee]]=0,"Unpaid","Partially Paid"))</f>
        <v>Partially Paid</v>
      </c>
      <c r="M280" s="5" t="s">
        <v>32</v>
      </c>
      <c r="N280"/>
      <c r="O280"/>
      <c r="P280"/>
      <c r="Q280"/>
      <c r="R280"/>
      <c r="S280"/>
      <c r="T280"/>
      <c r="U280"/>
      <c r="V280"/>
      <c r="W280"/>
    </row>
    <row r="281" spans="1:23" ht="15.4">
      <c r="A281" s="5">
        <v>693</v>
      </c>
      <c r="B281" s="5">
        <v>18693</v>
      </c>
      <c r="C281" s="5" t="s">
        <v>1085</v>
      </c>
      <c r="D281" s="5" t="s">
        <v>1086</v>
      </c>
      <c r="E281" s="5" t="s">
        <v>25</v>
      </c>
      <c r="F281" s="5" t="s">
        <v>1363</v>
      </c>
      <c r="G281" s="8">
        <v>45419</v>
      </c>
      <c r="H281" s="8" t="str">
        <f t="shared" si="4"/>
        <v>May</v>
      </c>
      <c r="I281" s="5">
        <v>7500</v>
      </c>
      <c r="J281" s="5">
        <v>700</v>
      </c>
      <c r="K281" s="5">
        <f>student_data[[#This Row],[Total Fee]]-student_data[[#This Row],[Deposit Fee]]</f>
        <v>6800</v>
      </c>
      <c r="L281" s="5" t="str">
        <f>IF(student_data[[#This Row],[Outstanding Fee]]=0,"Paid",IF(student_data[[#This Row],[Deposit Fee]]=0,"Unpaid","Partially Paid"))</f>
        <v>Partially Paid</v>
      </c>
      <c r="M281" s="5" t="s">
        <v>32</v>
      </c>
      <c r="N281"/>
      <c r="O281"/>
      <c r="P281"/>
      <c r="Q281"/>
      <c r="R281"/>
      <c r="S281"/>
      <c r="T281"/>
      <c r="U281"/>
      <c r="V281"/>
      <c r="W281"/>
    </row>
    <row r="282" spans="1:23" ht="15.4">
      <c r="A282" s="5">
        <v>69</v>
      </c>
      <c r="B282" s="5">
        <v>18069</v>
      </c>
      <c r="C282" s="5" t="s">
        <v>142</v>
      </c>
      <c r="D282" s="5" t="s">
        <v>143</v>
      </c>
      <c r="E282" s="5" t="s">
        <v>9</v>
      </c>
      <c r="F282" s="5" t="s">
        <v>1363</v>
      </c>
      <c r="G282" s="8">
        <v>45420</v>
      </c>
      <c r="H282" s="8" t="str">
        <f t="shared" si="4"/>
        <v>May</v>
      </c>
      <c r="I282" s="5">
        <v>7500</v>
      </c>
      <c r="J282" s="5">
        <v>7500</v>
      </c>
      <c r="K282" s="5">
        <f>student_data[[#This Row],[Total Fee]]-student_data[[#This Row],[Deposit Fee]]</f>
        <v>0</v>
      </c>
      <c r="L282" s="5" t="str">
        <f>IF(student_data[[#This Row],[Outstanding Fee]]=0,"Paid",IF(student_data[[#This Row],[Deposit Fee]]=0,"Unpaid","Partially Paid"))</f>
        <v>Paid</v>
      </c>
      <c r="M282" s="5" t="s">
        <v>13</v>
      </c>
      <c r="N282"/>
      <c r="O282"/>
      <c r="P282"/>
      <c r="Q282"/>
      <c r="R282"/>
      <c r="S282"/>
      <c r="T282"/>
      <c r="U282"/>
      <c r="V282"/>
      <c r="W282"/>
    </row>
    <row r="283" spans="1:23" ht="15.4">
      <c r="A283" s="5">
        <v>70</v>
      </c>
      <c r="B283" s="5">
        <v>18070</v>
      </c>
      <c r="C283" s="5" t="s">
        <v>144</v>
      </c>
      <c r="D283" s="5" t="s">
        <v>145</v>
      </c>
      <c r="E283" s="5" t="s">
        <v>9</v>
      </c>
      <c r="F283" s="5" t="s">
        <v>1363</v>
      </c>
      <c r="G283" s="8">
        <v>45420</v>
      </c>
      <c r="H283" s="8" t="str">
        <f t="shared" si="4"/>
        <v>May</v>
      </c>
      <c r="I283" s="5">
        <v>7500</v>
      </c>
      <c r="J283" s="5">
        <v>7500</v>
      </c>
      <c r="K283" s="5">
        <f>student_data[[#This Row],[Total Fee]]-student_data[[#This Row],[Deposit Fee]]</f>
        <v>0</v>
      </c>
      <c r="L283" s="5" t="str">
        <f>IF(student_data[[#This Row],[Outstanding Fee]]=0,"Paid",IF(student_data[[#This Row],[Deposit Fee]]=0,"Unpaid","Partially Paid"))</f>
        <v>Paid</v>
      </c>
      <c r="M283" s="5" t="s">
        <v>38</v>
      </c>
      <c r="N283"/>
      <c r="O283"/>
      <c r="P283"/>
      <c r="Q283"/>
      <c r="R283"/>
      <c r="S283"/>
      <c r="T283"/>
      <c r="U283"/>
      <c r="V283"/>
      <c r="W283"/>
    </row>
    <row r="284" spans="1:23" ht="15.4">
      <c r="A284" s="5">
        <v>71</v>
      </c>
      <c r="B284" s="5">
        <v>18071</v>
      </c>
      <c r="C284" s="5" t="s">
        <v>146</v>
      </c>
      <c r="D284" s="5" t="s">
        <v>147</v>
      </c>
      <c r="E284" s="5" t="s">
        <v>9</v>
      </c>
      <c r="F284" s="5" t="s">
        <v>1363</v>
      </c>
      <c r="G284" s="8">
        <v>45420</v>
      </c>
      <c r="H284" s="8" t="str">
        <f t="shared" si="4"/>
        <v>May</v>
      </c>
      <c r="I284" s="5">
        <v>7500</v>
      </c>
      <c r="J284" s="5">
        <v>7500</v>
      </c>
      <c r="K284" s="5">
        <f>student_data[[#This Row],[Total Fee]]-student_data[[#This Row],[Deposit Fee]]</f>
        <v>0</v>
      </c>
      <c r="L284" s="5" t="str">
        <f>IF(student_data[[#This Row],[Outstanding Fee]]=0,"Paid",IF(student_data[[#This Row],[Deposit Fee]]=0,"Unpaid","Partially Paid"))</f>
        <v>Paid</v>
      </c>
      <c r="M284" s="5" t="s">
        <v>78</v>
      </c>
      <c r="N284"/>
      <c r="O284"/>
      <c r="P284"/>
      <c r="Q284"/>
      <c r="R284"/>
      <c r="S284"/>
      <c r="T284"/>
      <c r="U284"/>
      <c r="V284"/>
      <c r="W284"/>
    </row>
    <row r="285" spans="1:23" ht="15.4">
      <c r="A285" s="5">
        <v>72</v>
      </c>
      <c r="B285" s="5">
        <v>18072</v>
      </c>
      <c r="C285" s="5" t="s">
        <v>148</v>
      </c>
      <c r="D285" s="5" t="s">
        <v>149</v>
      </c>
      <c r="E285" s="5" t="s">
        <v>9</v>
      </c>
      <c r="F285" s="5" t="s">
        <v>1363</v>
      </c>
      <c r="G285" s="8">
        <v>45421</v>
      </c>
      <c r="H285" s="8" t="str">
        <f t="shared" si="4"/>
        <v>May</v>
      </c>
      <c r="I285" s="5">
        <v>7500</v>
      </c>
      <c r="J285" s="5">
        <v>6900</v>
      </c>
      <c r="K285" s="5">
        <f>student_data[[#This Row],[Total Fee]]-student_data[[#This Row],[Deposit Fee]]</f>
        <v>600</v>
      </c>
      <c r="L285" s="5" t="str">
        <f>IF(student_data[[#This Row],[Outstanding Fee]]=0,"Paid",IF(student_data[[#This Row],[Deposit Fee]]=0,"Unpaid","Partially Paid"))</f>
        <v>Partially Paid</v>
      </c>
      <c r="M285" s="5" t="s">
        <v>16</v>
      </c>
      <c r="N285"/>
      <c r="O285"/>
      <c r="P285"/>
      <c r="Q285"/>
      <c r="R285"/>
      <c r="S285"/>
      <c r="T285"/>
      <c r="U285"/>
      <c r="V285"/>
      <c r="W285"/>
    </row>
    <row r="286" spans="1:23" ht="15.4">
      <c r="A286" s="5">
        <v>73</v>
      </c>
      <c r="B286" s="5">
        <v>18073</v>
      </c>
      <c r="C286" s="5" t="s">
        <v>150</v>
      </c>
      <c r="D286" s="5" t="s">
        <v>151</v>
      </c>
      <c r="E286" s="5" t="s">
        <v>25</v>
      </c>
      <c r="F286" s="5" t="s">
        <v>1363</v>
      </c>
      <c r="G286" s="8">
        <v>45421</v>
      </c>
      <c r="H286" s="8" t="str">
        <f t="shared" si="4"/>
        <v>May</v>
      </c>
      <c r="I286" s="5">
        <v>7500</v>
      </c>
      <c r="J286" s="5">
        <v>7500</v>
      </c>
      <c r="K286" s="5">
        <f>student_data[[#This Row],[Total Fee]]-student_data[[#This Row],[Deposit Fee]]</f>
        <v>0</v>
      </c>
      <c r="L286" s="5" t="str">
        <f>IF(student_data[[#This Row],[Outstanding Fee]]=0,"Paid",IF(student_data[[#This Row],[Deposit Fee]]=0,"Unpaid","Partially Paid"))</f>
        <v>Paid</v>
      </c>
      <c r="M286" s="5" t="s">
        <v>19</v>
      </c>
      <c r="N286"/>
      <c r="O286"/>
      <c r="P286"/>
      <c r="Q286"/>
      <c r="R286"/>
      <c r="S286"/>
      <c r="T286"/>
      <c r="U286"/>
      <c r="V286"/>
      <c r="W286"/>
    </row>
    <row r="287" spans="1:23" ht="15.4">
      <c r="A287" s="5">
        <v>74</v>
      </c>
      <c r="B287" s="5">
        <v>18074</v>
      </c>
      <c r="C287" s="5" t="s">
        <v>152</v>
      </c>
      <c r="D287" s="5" t="s">
        <v>153</v>
      </c>
      <c r="E287" s="5" t="s">
        <v>9</v>
      </c>
      <c r="F287" s="5" t="s">
        <v>1363</v>
      </c>
      <c r="G287" s="8">
        <v>45421</v>
      </c>
      <c r="H287" s="8" t="str">
        <f t="shared" si="4"/>
        <v>May</v>
      </c>
      <c r="I287" s="5">
        <v>7500</v>
      </c>
      <c r="J287" s="5">
        <v>6900</v>
      </c>
      <c r="K287" s="5">
        <f>student_data[[#This Row],[Total Fee]]-student_data[[#This Row],[Deposit Fee]]</f>
        <v>600</v>
      </c>
      <c r="L287" s="5" t="str">
        <f>IF(student_data[[#This Row],[Outstanding Fee]]=0,"Paid",IF(student_data[[#This Row],[Deposit Fee]]=0,"Unpaid","Partially Paid"))</f>
        <v>Partially Paid</v>
      </c>
      <c r="M287" s="5" t="s">
        <v>47</v>
      </c>
      <c r="N287"/>
      <c r="O287"/>
      <c r="P287"/>
      <c r="Q287"/>
      <c r="R287"/>
      <c r="S287"/>
      <c r="T287"/>
      <c r="U287"/>
      <c r="V287"/>
      <c r="W287"/>
    </row>
    <row r="288" spans="1:23" ht="15.4">
      <c r="A288" s="5">
        <v>75</v>
      </c>
      <c r="B288" s="5">
        <v>18075</v>
      </c>
      <c r="C288" s="5" t="s">
        <v>154</v>
      </c>
      <c r="D288" s="5" t="s">
        <v>155</v>
      </c>
      <c r="E288" s="5" t="s">
        <v>25</v>
      </c>
      <c r="F288" s="5" t="s">
        <v>1363</v>
      </c>
      <c r="G288" s="8">
        <v>45422</v>
      </c>
      <c r="H288" s="8" t="str">
        <f t="shared" si="4"/>
        <v>May</v>
      </c>
      <c r="I288" s="5">
        <v>7500</v>
      </c>
      <c r="J288" s="5">
        <v>7500</v>
      </c>
      <c r="K288" s="5">
        <f>student_data[[#This Row],[Total Fee]]-student_data[[#This Row],[Deposit Fee]]</f>
        <v>0</v>
      </c>
      <c r="L288" s="5" t="str">
        <f>IF(student_data[[#This Row],[Outstanding Fee]]=0,"Paid",IF(student_data[[#This Row],[Deposit Fee]]=0,"Unpaid","Partially Paid"))</f>
        <v>Paid</v>
      </c>
      <c r="M288" s="5" t="s">
        <v>75</v>
      </c>
      <c r="N288"/>
      <c r="O288"/>
      <c r="P288"/>
      <c r="Q288"/>
      <c r="R288"/>
      <c r="S288"/>
      <c r="T288"/>
      <c r="U288"/>
      <c r="V288"/>
      <c r="W288"/>
    </row>
    <row r="289" spans="1:23" ht="15.4">
      <c r="A289" s="5">
        <v>76</v>
      </c>
      <c r="B289" s="5">
        <v>18076</v>
      </c>
      <c r="C289" s="5" t="s">
        <v>156</v>
      </c>
      <c r="D289" s="5" t="s">
        <v>157</v>
      </c>
      <c r="E289" s="5" t="s">
        <v>25</v>
      </c>
      <c r="F289" s="5" t="s">
        <v>1363</v>
      </c>
      <c r="G289" s="8">
        <v>45422</v>
      </c>
      <c r="H289" s="8" t="str">
        <f t="shared" si="4"/>
        <v>May</v>
      </c>
      <c r="I289" s="5">
        <v>7500</v>
      </c>
      <c r="J289" s="5">
        <v>7500</v>
      </c>
      <c r="K289" s="5">
        <f>student_data[[#This Row],[Total Fee]]-student_data[[#This Row],[Deposit Fee]]</f>
        <v>0</v>
      </c>
      <c r="L289" s="5" t="str">
        <f>IF(student_data[[#This Row],[Outstanding Fee]]=0,"Paid",IF(student_data[[#This Row],[Deposit Fee]]=0,"Unpaid","Partially Paid"))</f>
        <v>Paid</v>
      </c>
      <c r="M289" s="5" t="s">
        <v>89</v>
      </c>
      <c r="N289"/>
      <c r="O289"/>
      <c r="P289"/>
      <c r="Q289"/>
      <c r="R289"/>
      <c r="S289"/>
      <c r="T289"/>
      <c r="U289"/>
      <c r="V289"/>
      <c r="W289"/>
    </row>
    <row r="290" spans="1:23" ht="15.4">
      <c r="A290" s="5">
        <v>77</v>
      </c>
      <c r="B290" s="5">
        <v>18077</v>
      </c>
      <c r="C290" s="5" t="s">
        <v>158</v>
      </c>
      <c r="D290" s="5" t="s">
        <v>159</v>
      </c>
      <c r="E290" s="5" t="s">
        <v>9</v>
      </c>
      <c r="F290" s="5" t="s">
        <v>1363</v>
      </c>
      <c r="G290" s="8">
        <v>45422</v>
      </c>
      <c r="H290" s="8" t="str">
        <f t="shared" si="4"/>
        <v>May</v>
      </c>
      <c r="I290" s="5">
        <v>7500</v>
      </c>
      <c r="J290" s="5">
        <v>7100</v>
      </c>
      <c r="K290" s="5">
        <f>student_data[[#This Row],[Total Fee]]-student_data[[#This Row],[Deposit Fee]]</f>
        <v>400</v>
      </c>
      <c r="L290" s="5" t="str">
        <f>IF(student_data[[#This Row],[Outstanding Fee]]=0,"Paid",IF(student_data[[#This Row],[Deposit Fee]]=0,"Unpaid","Partially Paid"))</f>
        <v>Partially Paid</v>
      </c>
      <c r="M290" s="5" t="s">
        <v>29</v>
      </c>
      <c r="N290"/>
      <c r="O290"/>
      <c r="P290"/>
      <c r="Q290"/>
      <c r="R290"/>
      <c r="S290"/>
      <c r="T290"/>
      <c r="U290"/>
      <c r="V290"/>
      <c r="W290"/>
    </row>
    <row r="291" spans="1:23" ht="15.4">
      <c r="A291" s="5">
        <v>78</v>
      </c>
      <c r="B291" s="5">
        <v>18078</v>
      </c>
      <c r="C291" s="5" t="s">
        <v>160</v>
      </c>
      <c r="D291" s="5" t="s">
        <v>149</v>
      </c>
      <c r="E291" s="5" t="s">
        <v>9</v>
      </c>
      <c r="F291" s="5" t="s">
        <v>1363</v>
      </c>
      <c r="G291" s="8">
        <v>45423</v>
      </c>
      <c r="H291" s="8" t="str">
        <f t="shared" si="4"/>
        <v>May</v>
      </c>
      <c r="I291" s="5">
        <v>7500</v>
      </c>
      <c r="J291" s="5">
        <v>6900</v>
      </c>
      <c r="K291" s="5">
        <f>student_data[[#This Row],[Total Fee]]-student_data[[#This Row],[Deposit Fee]]</f>
        <v>600</v>
      </c>
      <c r="L291" s="5" t="str">
        <f>IF(student_data[[#This Row],[Outstanding Fee]]=0,"Paid",IF(student_data[[#This Row],[Deposit Fee]]=0,"Unpaid","Partially Paid"))</f>
        <v>Partially Paid</v>
      </c>
      <c r="M291" s="5" t="s">
        <v>10</v>
      </c>
      <c r="N291"/>
      <c r="O291"/>
      <c r="P291"/>
      <c r="Q291"/>
      <c r="R291"/>
      <c r="S291"/>
      <c r="T291"/>
      <c r="U291"/>
      <c r="V291"/>
      <c r="W291"/>
    </row>
    <row r="292" spans="1:23" ht="15.4">
      <c r="A292" s="5">
        <v>79</v>
      </c>
      <c r="B292" s="5">
        <v>18079</v>
      </c>
      <c r="C292" s="5" t="s">
        <v>161</v>
      </c>
      <c r="D292" s="5" t="s">
        <v>162</v>
      </c>
      <c r="E292" s="5" t="s">
        <v>9</v>
      </c>
      <c r="F292" s="5" t="s">
        <v>1363</v>
      </c>
      <c r="G292" s="8">
        <v>45423</v>
      </c>
      <c r="H292" s="8" t="str">
        <f t="shared" si="4"/>
        <v>May</v>
      </c>
      <c r="I292" s="5">
        <v>7500</v>
      </c>
      <c r="J292" s="5">
        <v>6900</v>
      </c>
      <c r="K292" s="5">
        <f>student_data[[#This Row],[Total Fee]]-student_data[[#This Row],[Deposit Fee]]</f>
        <v>600</v>
      </c>
      <c r="L292" s="5" t="str">
        <f>IF(student_data[[#This Row],[Outstanding Fee]]=0,"Paid",IF(student_data[[#This Row],[Deposit Fee]]=0,"Unpaid","Partially Paid"))</f>
        <v>Partially Paid</v>
      </c>
      <c r="M292" s="5" t="s">
        <v>13</v>
      </c>
      <c r="N292"/>
      <c r="O292"/>
      <c r="P292"/>
      <c r="Q292"/>
      <c r="R292"/>
      <c r="S292"/>
      <c r="T292"/>
      <c r="U292"/>
      <c r="V292"/>
      <c r="W292"/>
    </row>
    <row r="293" spans="1:23" ht="15.4">
      <c r="A293" s="5">
        <v>80</v>
      </c>
      <c r="B293" s="5">
        <v>18080</v>
      </c>
      <c r="C293" s="5" t="s">
        <v>163</v>
      </c>
      <c r="D293" s="5" t="s">
        <v>164</v>
      </c>
      <c r="E293" s="5" t="s">
        <v>9</v>
      </c>
      <c r="F293" s="5" t="s">
        <v>1363</v>
      </c>
      <c r="G293" s="8">
        <v>45423</v>
      </c>
      <c r="H293" s="8" t="str">
        <f t="shared" si="4"/>
        <v>May</v>
      </c>
      <c r="I293" s="5">
        <v>7500</v>
      </c>
      <c r="J293" s="5">
        <v>7100</v>
      </c>
      <c r="K293" s="5">
        <f>student_data[[#This Row],[Total Fee]]-student_data[[#This Row],[Deposit Fee]]</f>
        <v>400</v>
      </c>
      <c r="L293" s="5" t="str">
        <f>IF(student_data[[#This Row],[Outstanding Fee]]=0,"Paid",IF(student_data[[#This Row],[Deposit Fee]]=0,"Unpaid","Partially Paid"))</f>
        <v>Partially Paid</v>
      </c>
      <c r="M293" s="5" t="s">
        <v>38</v>
      </c>
      <c r="N293"/>
      <c r="O293"/>
      <c r="P293"/>
      <c r="Q293"/>
      <c r="R293"/>
      <c r="S293"/>
      <c r="T293"/>
      <c r="U293"/>
      <c r="V293"/>
      <c r="W293"/>
    </row>
    <row r="294" spans="1:23" ht="15.4">
      <c r="A294" s="5">
        <v>630</v>
      </c>
      <c r="B294" s="5">
        <v>18630</v>
      </c>
      <c r="C294" s="5" t="s">
        <v>995</v>
      </c>
      <c r="D294" s="5" t="s">
        <v>253</v>
      </c>
      <c r="E294" s="5" t="s">
        <v>25</v>
      </c>
      <c r="F294" s="5" t="s">
        <v>1363</v>
      </c>
      <c r="G294" s="8">
        <v>45425</v>
      </c>
      <c r="H294" s="8" t="str">
        <f t="shared" si="4"/>
        <v>May</v>
      </c>
      <c r="I294" s="5">
        <v>7500</v>
      </c>
      <c r="J294" s="5">
        <v>7500</v>
      </c>
      <c r="K294" s="5">
        <f>student_data[[#This Row],[Total Fee]]-student_data[[#This Row],[Deposit Fee]]</f>
        <v>0</v>
      </c>
      <c r="L294" s="5" t="str">
        <f>IF(student_data[[#This Row],[Outstanding Fee]]=0,"Paid",IF(student_data[[#This Row],[Deposit Fee]]=0,"Unpaid","Partially Paid"))</f>
        <v>Paid</v>
      </c>
      <c r="M294" s="5" t="s">
        <v>19</v>
      </c>
      <c r="N294"/>
      <c r="O294"/>
      <c r="P294"/>
      <c r="Q294"/>
      <c r="R294"/>
      <c r="S294"/>
      <c r="T294"/>
      <c r="U294"/>
      <c r="V294"/>
      <c r="W294"/>
    </row>
    <row r="295" spans="1:23" ht="15.4">
      <c r="A295" s="5">
        <v>631</v>
      </c>
      <c r="B295" s="5">
        <v>18631</v>
      </c>
      <c r="C295" s="5" t="s">
        <v>996</v>
      </c>
      <c r="D295" s="5" t="s">
        <v>997</v>
      </c>
      <c r="E295" s="5" t="s">
        <v>25</v>
      </c>
      <c r="F295" s="5" t="s">
        <v>1363</v>
      </c>
      <c r="G295" s="8">
        <v>45425</v>
      </c>
      <c r="H295" s="8" t="str">
        <f t="shared" si="4"/>
        <v>May</v>
      </c>
      <c r="I295" s="5">
        <v>7500</v>
      </c>
      <c r="J295" s="5">
        <v>7500</v>
      </c>
      <c r="K295" s="5">
        <f>student_data[[#This Row],[Total Fee]]-student_data[[#This Row],[Deposit Fee]]</f>
        <v>0</v>
      </c>
      <c r="L295" s="5" t="str">
        <f>IF(student_data[[#This Row],[Outstanding Fee]]=0,"Paid",IF(student_data[[#This Row],[Deposit Fee]]=0,"Unpaid","Partially Paid"))</f>
        <v>Paid</v>
      </c>
      <c r="M295" s="5" t="s">
        <v>47</v>
      </c>
      <c r="N295"/>
      <c r="O295"/>
      <c r="P295"/>
      <c r="Q295"/>
      <c r="R295"/>
      <c r="S295"/>
      <c r="T295"/>
      <c r="U295"/>
      <c r="V295"/>
      <c r="W295"/>
    </row>
    <row r="296" spans="1:23" ht="15.4">
      <c r="A296" s="5">
        <v>632</v>
      </c>
      <c r="B296" s="5">
        <v>18632</v>
      </c>
      <c r="C296" s="5" t="s">
        <v>998</v>
      </c>
      <c r="D296" s="5" t="s">
        <v>664</v>
      </c>
      <c r="E296" s="5" t="s">
        <v>9</v>
      </c>
      <c r="F296" s="5" t="s">
        <v>1363</v>
      </c>
      <c r="G296" s="8">
        <v>45425</v>
      </c>
      <c r="H296" s="8" t="str">
        <f t="shared" si="4"/>
        <v>May</v>
      </c>
      <c r="I296" s="5">
        <v>7500</v>
      </c>
      <c r="J296" s="5">
        <v>7500</v>
      </c>
      <c r="K296" s="5">
        <f>student_data[[#This Row],[Total Fee]]-student_data[[#This Row],[Deposit Fee]]</f>
        <v>0</v>
      </c>
      <c r="L296" s="5" t="str">
        <f>IF(student_data[[#This Row],[Outstanding Fee]]=0,"Paid",IF(student_data[[#This Row],[Deposit Fee]]=0,"Unpaid","Partially Paid"))</f>
        <v>Paid</v>
      </c>
      <c r="M296" s="5" t="s">
        <v>75</v>
      </c>
      <c r="N296"/>
      <c r="O296"/>
      <c r="P296"/>
      <c r="Q296"/>
      <c r="R296"/>
      <c r="S296"/>
      <c r="T296"/>
      <c r="U296"/>
      <c r="V296"/>
      <c r="W296"/>
    </row>
    <row r="297" spans="1:23" ht="15.4">
      <c r="A297" s="5">
        <v>633</v>
      </c>
      <c r="B297" s="5">
        <v>18633</v>
      </c>
      <c r="C297" s="5" t="s">
        <v>999</v>
      </c>
      <c r="D297" s="5" t="s">
        <v>1000</v>
      </c>
      <c r="E297" s="5" t="s">
        <v>25</v>
      </c>
      <c r="F297" s="5" t="s">
        <v>1363</v>
      </c>
      <c r="G297" s="8">
        <v>45426</v>
      </c>
      <c r="H297" s="8" t="str">
        <f t="shared" si="4"/>
        <v>May</v>
      </c>
      <c r="I297" s="5">
        <v>7500</v>
      </c>
      <c r="J297" s="5">
        <v>6900</v>
      </c>
      <c r="K297" s="5">
        <f>student_data[[#This Row],[Total Fee]]-student_data[[#This Row],[Deposit Fee]]</f>
        <v>600</v>
      </c>
      <c r="L297" s="5" t="str">
        <f>IF(student_data[[#This Row],[Outstanding Fee]]=0,"Paid",IF(student_data[[#This Row],[Deposit Fee]]=0,"Unpaid","Partially Paid"))</f>
        <v>Partially Paid</v>
      </c>
      <c r="M297" s="5" t="s">
        <v>89</v>
      </c>
      <c r="N297"/>
      <c r="O297"/>
      <c r="P297"/>
      <c r="Q297"/>
      <c r="R297"/>
      <c r="S297"/>
      <c r="T297"/>
      <c r="U297"/>
      <c r="V297"/>
      <c r="W297"/>
    </row>
    <row r="298" spans="1:23" ht="15.4">
      <c r="A298" s="5">
        <v>634</v>
      </c>
      <c r="B298" s="5">
        <v>18634</v>
      </c>
      <c r="C298" s="5" t="s">
        <v>590</v>
      </c>
      <c r="D298" s="5" t="s">
        <v>1001</v>
      </c>
      <c r="E298" s="5" t="s">
        <v>9</v>
      </c>
      <c r="F298" s="5" t="s">
        <v>1363</v>
      </c>
      <c r="G298" s="8">
        <v>45426</v>
      </c>
      <c r="H298" s="8" t="str">
        <f t="shared" si="4"/>
        <v>May</v>
      </c>
      <c r="I298" s="5">
        <v>7500</v>
      </c>
      <c r="J298" s="5">
        <v>7500</v>
      </c>
      <c r="K298" s="5">
        <f>student_data[[#This Row],[Total Fee]]-student_data[[#This Row],[Deposit Fee]]</f>
        <v>0</v>
      </c>
      <c r="L298" s="5" t="str">
        <f>IF(student_data[[#This Row],[Outstanding Fee]]=0,"Paid",IF(student_data[[#This Row],[Deposit Fee]]=0,"Unpaid","Partially Paid"))</f>
        <v>Paid</v>
      </c>
      <c r="M298" s="5" t="s">
        <v>29</v>
      </c>
      <c r="N298"/>
      <c r="O298"/>
      <c r="P298"/>
      <c r="Q298"/>
      <c r="R298"/>
      <c r="S298"/>
      <c r="T298"/>
      <c r="U298"/>
      <c r="V298"/>
      <c r="W298"/>
    </row>
    <row r="299" spans="1:23" ht="15.4">
      <c r="A299" s="5">
        <v>635</v>
      </c>
      <c r="B299" s="5">
        <v>18635</v>
      </c>
      <c r="C299" s="5" t="s">
        <v>1002</v>
      </c>
      <c r="D299" s="5" t="s">
        <v>1003</v>
      </c>
      <c r="E299" s="5" t="s">
        <v>9</v>
      </c>
      <c r="F299" s="5" t="s">
        <v>1363</v>
      </c>
      <c r="G299" s="8">
        <v>45426</v>
      </c>
      <c r="H299" s="8" t="str">
        <f t="shared" si="4"/>
        <v>May</v>
      </c>
      <c r="I299" s="5">
        <v>7500</v>
      </c>
      <c r="J299" s="5">
        <v>6900</v>
      </c>
      <c r="K299" s="5">
        <f>student_data[[#This Row],[Total Fee]]-student_data[[#This Row],[Deposit Fee]]</f>
        <v>600</v>
      </c>
      <c r="L299" s="5" t="str">
        <f>IF(student_data[[#This Row],[Outstanding Fee]]=0,"Paid",IF(student_data[[#This Row],[Deposit Fee]]=0,"Unpaid","Partially Paid"))</f>
        <v>Partially Paid</v>
      </c>
      <c r="M299" s="5" t="s">
        <v>75</v>
      </c>
      <c r="N299"/>
      <c r="O299"/>
      <c r="P299"/>
      <c r="Q299"/>
      <c r="R299"/>
      <c r="S299"/>
      <c r="T299"/>
      <c r="U299"/>
      <c r="V299"/>
      <c r="W299"/>
    </row>
    <row r="300" spans="1:23" ht="15.4">
      <c r="A300" s="5">
        <v>636</v>
      </c>
      <c r="B300" s="5">
        <v>18636</v>
      </c>
      <c r="C300" s="5" t="s">
        <v>1004</v>
      </c>
      <c r="D300" s="5" t="s">
        <v>253</v>
      </c>
      <c r="E300" s="5" t="s">
        <v>9</v>
      </c>
      <c r="F300" s="5" t="s">
        <v>1363</v>
      </c>
      <c r="G300" s="8">
        <v>45427</v>
      </c>
      <c r="H300" s="8" t="str">
        <f t="shared" si="4"/>
        <v>May</v>
      </c>
      <c r="I300" s="5">
        <v>7500</v>
      </c>
      <c r="J300" s="5">
        <v>1500</v>
      </c>
      <c r="K300" s="5">
        <f>student_data[[#This Row],[Total Fee]]-student_data[[#This Row],[Deposit Fee]]</f>
        <v>6000</v>
      </c>
      <c r="L300" s="5" t="str">
        <f>IF(student_data[[#This Row],[Outstanding Fee]]=0,"Paid",IF(student_data[[#This Row],[Deposit Fee]]=0,"Unpaid","Partially Paid"))</f>
        <v>Partially Paid</v>
      </c>
      <c r="M300" s="5" t="s">
        <v>75</v>
      </c>
      <c r="N300"/>
      <c r="O300"/>
      <c r="P300"/>
      <c r="Q300"/>
      <c r="R300"/>
      <c r="S300"/>
      <c r="T300"/>
      <c r="U300"/>
      <c r="V300"/>
      <c r="W300"/>
    </row>
    <row r="301" spans="1:23" ht="15.4">
      <c r="A301" s="5">
        <v>637</v>
      </c>
      <c r="B301" s="5">
        <v>18637</v>
      </c>
      <c r="C301" s="5" t="s">
        <v>1005</v>
      </c>
      <c r="D301" s="5" t="s">
        <v>1006</v>
      </c>
      <c r="E301" s="5" t="s">
        <v>9</v>
      </c>
      <c r="F301" s="5" t="s">
        <v>1363</v>
      </c>
      <c r="G301" s="8">
        <v>45427</v>
      </c>
      <c r="H301" s="8" t="str">
        <f t="shared" si="4"/>
        <v>May</v>
      </c>
      <c r="I301" s="5">
        <v>7500</v>
      </c>
      <c r="J301" s="5">
        <v>7500</v>
      </c>
      <c r="K301" s="5">
        <f>student_data[[#This Row],[Total Fee]]-student_data[[#This Row],[Deposit Fee]]</f>
        <v>0</v>
      </c>
      <c r="L301" s="5" t="str">
        <f>IF(student_data[[#This Row],[Outstanding Fee]]=0,"Paid",IF(student_data[[#This Row],[Deposit Fee]]=0,"Unpaid","Partially Paid"))</f>
        <v>Paid</v>
      </c>
      <c r="M301" s="5" t="s">
        <v>19</v>
      </c>
      <c r="N301"/>
      <c r="O301"/>
      <c r="P301"/>
      <c r="Q301"/>
      <c r="R301"/>
      <c r="S301"/>
      <c r="T301"/>
      <c r="U301"/>
      <c r="V301"/>
      <c r="W301"/>
    </row>
    <row r="302" spans="1:23" ht="15.4">
      <c r="A302" s="5">
        <v>638</v>
      </c>
      <c r="B302" s="5">
        <v>18638</v>
      </c>
      <c r="C302" s="5" t="s">
        <v>1007</v>
      </c>
      <c r="D302" s="5" t="s">
        <v>1008</v>
      </c>
      <c r="E302" s="5" t="s">
        <v>9</v>
      </c>
      <c r="F302" s="5" t="s">
        <v>1363</v>
      </c>
      <c r="G302" s="8">
        <v>45427</v>
      </c>
      <c r="H302" s="8" t="str">
        <f t="shared" si="4"/>
        <v>May</v>
      </c>
      <c r="I302" s="5">
        <v>7500</v>
      </c>
      <c r="J302" s="5">
        <v>7500</v>
      </c>
      <c r="K302" s="5">
        <f>student_data[[#This Row],[Total Fee]]-student_data[[#This Row],[Deposit Fee]]</f>
        <v>0</v>
      </c>
      <c r="L302" s="5" t="str">
        <f>IF(student_data[[#This Row],[Outstanding Fee]]=0,"Paid",IF(student_data[[#This Row],[Deposit Fee]]=0,"Unpaid","Partially Paid"))</f>
        <v>Paid</v>
      </c>
      <c r="M302" s="5" t="s">
        <v>47</v>
      </c>
      <c r="N302"/>
      <c r="O302"/>
      <c r="P302"/>
      <c r="Q302"/>
      <c r="R302"/>
      <c r="S302"/>
      <c r="T302"/>
      <c r="U302"/>
      <c r="V302"/>
      <c r="W302"/>
    </row>
    <row r="303" spans="1:23" ht="15.4">
      <c r="A303" s="5">
        <v>639</v>
      </c>
      <c r="B303" s="5">
        <v>18639</v>
      </c>
      <c r="C303" s="5" t="s">
        <v>1009</v>
      </c>
      <c r="D303" s="5" t="s">
        <v>1010</v>
      </c>
      <c r="E303" s="5" t="s">
        <v>25</v>
      </c>
      <c r="F303" s="5" t="s">
        <v>1363</v>
      </c>
      <c r="G303" s="8">
        <v>45428</v>
      </c>
      <c r="H303" s="8" t="str">
        <f t="shared" si="4"/>
        <v>May</v>
      </c>
      <c r="I303" s="5">
        <v>7500</v>
      </c>
      <c r="J303" s="5">
        <v>6900</v>
      </c>
      <c r="K303" s="5">
        <f>student_data[[#This Row],[Total Fee]]-student_data[[#This Row],[Deposit Fee]]</f>
        <v>600</v>
      </c>
      <c r="L303" s="5" t="str">
        <f>IF(student_data[[#This Row],[Outstanding Fee]]=0,"Paid",IF(student_data[[#This Row],[Deposit Fee]]=0,"Unpaid","Partially Paid"))</f>
        <v>Partially Paid</v>
      </c>
      <c r="M303" s="5" t="s">
        <v>47</v>
      </c>
      <c r="N303"/>
      <c r="O303"/>
      <c r="P303"/>
      <c r="Q303"/>
      <c r="R303"/>
      <c r="S303"/>
      <c r="T303"/>
      <c r="U303"/>
      <c r="V303"/>
      <c r="W303"/>
    </row>
    <row r="304" spans="1:23" ht="15.4">
      <c r="A304" s="5">
        <v>640</v>
      </c>
      <c r="B304" s="5">
        <v>18640</v>
      </c>
      <c r="C304" s="5" t="s">
        <v>1011</v>
      </c>
      <c r="D304" s="5" t="s">
        <v>1012</v>
      </c>
      <c r="E304" s="5" t="s">
        <v>25</v>
      </c>
      <c r="F304" s="5" t="s">
        <v>1363</v>
      </c>
      <c r="G304" s="8">
        <v>45428</v>
      </c>
      <c r="H304" s="8" t="str">
        <f t="shared" si="4"/>
        <v>May</v>
      </c>
      <c r="I304" s="5">
        <v>7500</v>
      </c>
      <c r="J304" s="5">
        <v>6900</v>
      </c>
      <c r="K304" s="5">
        <f>student_data[[#This Row],[Total Fee]]-student_data[[#This Row],[Deposit Fee]]</f>
        <v>600</v>
      </c>
      <c r="L304" s="5" t="str">
        <f>IF(student_data[[#This Row],[Outstanding Fee]]=0,"Paid",IF(student_data[[#This Row],[Deposit Fee]]=0,"Unpaid","Partially Paid"))</f>
        <v>Partially Paid</v>
      </c>
      <c r="M304" s="5" t="s">
        <v>78</v>
      </c>
      <c r="N304"/>
      <c r="O304"/>
      <c r="P304"/>
      <c r="Q304"/>
      <c r="R304"/>
      <c r="S304"/>
      <c r="T304"/>
      <c r="U304"/>
      <c r="V304"/>
      <c r="W304"/>
    </row>
    <row r="305" spans="1:23" ht="15.4">
      <c r="A305" s="5">
        <v>641</v>
      </c>
      <c r="B305" s="5">
        <v>18641</v>
      </c>
      <c r="C305" s="5" t="s">
        <v>1013</v>
      </c>
      <c r="D305" s="5" t="s">
        <v>1014</v>
      </c>
      <c r="E305" s="5" t="s">
        <v>25</v>
      </c>
      <c r="F305" s="5" t="s">
        <v>1363</v>
      </c>
      <c r="G305" s="8">
        <v>45428</v>
      </c>
      <c r="H305" s="8" t="str">
        <f t="shared" si="4"/>
        <v>May</v>
      </c>
      <c r="I305" s="5">
        <v>7500</v>
      </c>
      <c r="J305" s="5">
        <v>7100</v>
      </c>
      <c r="K305" s="5">
        <f>student_data[[#This Row],[Total Fee]]-student_data[[#This Row],[Deposit Fee]]</f>
        <v>400</v>
      </c>
      <c r="L305" s="5" t="str">
        <f>IF(student_data[[#This Row],[Outstanding Fee]]=0,"Paid",IF(student_data[[#This Row],[Deposit Fee]]=0,"Unpaid","Partially Paid"))</f>
        <v>Partially Paid</v>
      </c>
      <c r="M305" s="5" t="s">
        <v>16</v>
      </c>
      <c r="N305"/>
      <c r="O305"/>
      <c r="P305"/>
      <c r="Q305"/>
      <c r="R305"/>
      <c r="S305"/>
      <c r="T305"/>
      <c r="U305"/>
      <c r="V305"/>
      <c r="W305"/>
    </row>
    <row r="306" spans="1:23" ht="15.4">
      <c r="A306" s="5">
        <v>642</v>
      </c>
      <c r="B306" s="5">
        <v>18642</v>
      </c>
      <c r="C306" s="5" t="s">
        <v>1015</v>
      </c>
      <c r="D306" s="5" t="s">
        <v>1016</v>
      </c>
      <c r="E306" s="5" t="s">
        <v>9</v>
      </c>
      <c r="F306" s="5" t="s">
        <v>1363</v>
      </c>
      <c r="G306" s="8">
        <v>45429</v>
      </c>
      <c r="H306" s="8" t="str">
        <f t="shared" si="4"/>
        <v>May</v>
      </c>
      <c r="I306" s="5">
        <v>7500</v>
      </c>
      <c r="J306" s="5">
        <v>7500</v>
      </c>
      <c r="K306" s="5">
        <f>student_data[[#This Row],[Total Fee]]-student_data[[#This Row],[Deposit Fee]]</f>
        <v>0</v>
      </c>
      <c r="L306" s="5" t="str">
        <f>IF(student_data[[#This Row],[Outstanding Fee]]=0,"Paid",IF(student_data[[#This Row],[Deposit Fee]]=0,"Unpaid","Partially Paid"))</f>
        <v>Paid</v>
      </c>
      <c r="M306" s="5" t="s">
        <v>19</v>
      </c>
      <c r="N306"/>
      <c r="O306"/>
      <c r="P306"/>
      <c r="Q306"/>
      <c r="R306"/>
      <c r="S306"/>
      <c r="T306"/>
      <c r="U306"/>
      <c r="V306"/>
      <c r="W306"/>
    </row>
    <row r="307" spans="1:23" ht="15.4">
      <c r="A307" s="5">
        <v>643</v>
      </c>
      <c r="B307" s="5">
        <v>18643</v>
      </c>
      <c r="C307" s="5" t="s">
        <v>1017</v>
      </c>
      <c r="D307" s="5" t="s">
        <v>40</v>
      </c>
      <c r="E307" s="5" t="s">
        <v>9</v>
      </c>
      <c r="F307" s="5" t="s">
        <v>1363</v>
      </c>
      <c r="G307" s="8">
        <v>45429</v>
      </c>
      <c r="H307" s="8" t="str">
        <f t="shared" si="4"/>
        <v>May</v>
      </c>
      <c r="I307" s="5">
        <v>7500</v>
      </c>
      <c r="J307" s="5">
        <v>7500</v>
      </c>
      <c r="K307" s="5">
        <f>student_data[[#This Row],[Total Fee]]-student_data[[#This Row],[Deposit Fee]]</f>
        <v>0</v>
      </c>
      <c r="L307" s="5" t="str">
        <f>IF(student_data[[#This Row],[Outstanding Fee]]=0,"Paid",IF(student_data[[#This Row],[Deposit Fee]]=0,"Unpaid","Partially Paid"))</f>
        <v>Paid</v>
      </c>
      <c r="M307" s="5" t="s">
        <v>47</v>
      </c>
      <c r="N307"/>
      <c r="O307"/>
      <c r="P307"/>
      <c r="Q307"/>
      <c r="R307"/>
      <c r="S307"/>
      <c r="T307"/>
      <c r="U307"/>
      <c r="V307"/>
      <c r="W307"/>
    </row>
    <row r="308" spans="1:23" ht="15.4">
      <c r="A308" s="5">
        <v>644</v>
      </c>
      <c r="B308" s="5">
        <v>18644</v>
      </c>
      <c r="C308" s="5" t="s">
        <v>1018</v>
      </c>
      <c r="D308" s="5" t="s">
        <v>278</v>
      </c>
      <c r="E308" s="5" t="s">
        <v>9</v>
      </c>
      <c r="F308" s="5" t="s">
        <v>1363</v>
      </c>
      <c r="G308" s="8">
        <v>45429</v>
      </c>
      <c r="H308" s="8" t="str">
        <f t="shared" si="4"/>
        <v>May</v>
      </c>
      <c r="I308" s="5">
        <v>7500</v>
      </c>
      <c r="J308" s="5">
        <v>7500</v>
      </c>
      <c r="K308" s="5">
        <f>student_data[[#This Row],[Total Fee]]-student_data[[#This Row],[Deposit Fee]]</f>
        <v>0</v>
      </c>
      <c r="L308" s="5" t="str">
        <f>IF(student_data[[#This Row],[Outstanding Fee]]=0,"Paid",IF(student_data[[#This Row],[Deposit Fee]]=0,"Unpaid","Partially Paid"))</f>
        <v>Paid</v>
      </c>
      <c r="M308" s="5" t="s">
        <v>75</v>
      </c>
      <c r="N308"/>
      <c r="O308"/>
      <c r="P308"/>
      <c r="Q308"/>
      <c r="R308"/>
      <c r="S308"/>
      <c r="T308"/>
      <c r="U308"/>
      <c r="V308"/>
      <c r="W308"/>
    </row>
    <row r="309" spans="1:23" ht="15.4">
      <c r="A309" s="5">
        <v>645</v>
      </c>
      <c r="B309" s="5">
        <v>18645</v>
      </c>
      <c r="C309" s="5" t="s">
        <v>1019</v>
      </c>
      <c r="D309" s="5" t="s">
        <v>608</v>
      </c>
      <c r="E309" s="5" t="s">
        <v>9</v>
      </c>
      <c r="F309" s="5" t="s">
        <v>1363</v>
      </c>
      <c r="G309" s="8">
        <v>45430</v>
      </c>
      <c r="H309" s="8" t="str">
        <f t="shared" si="4"/>
        <v>May</v>
      </c>
      <c r="I309" s="5">
        <v>7500</v>
      </c>
      <c r="J309" s="5">
        <v>6900</v>
      </c>
      <c r="K309" s="5">
        <f>student_data[[#This Row],[Total Fee]]-student_data[[#This Row],[Deposit Fee]]</f>
        <v>600</v>
      </c>
      <c r="L309" s="5" t="str">
        <f>IF(student_data[[#This Row],[Outstanding Fee]]=0,"Paid",IF(student_data[[#This Row],[Deposit Fee]]=0,"Unpaid","Partially Paid"))</f>
        <v>Partially Paid</v>
      </c>
      <c r="M309" s="5" t="s">
        <v>89</v>
      </c>
      <c r="N309"/>
      <c r="O309"/>
      <c r="P309"/>
      <c r="Q309"/>
      <c r="R309"/>
      <c r="S309"/>
      <c r="T309"/>
      <c r="U309"/>
      <c r="V309"/>
      <c r="W309"/>
    </row>
    <row r="310" spans="1:23" ht="15.4">
      <c r="A310" s="5">
        <v>646</v>
      </c>
      <c r="B310" s="5">
        <v>18646</v>
      </c>
      <c r="C310" s="5" t="s">
        <v>1020</v>
      </c>
      <c r="D310" s="5" t="s">
        <v>934</v>
      </c>
      <c r="E310" s="5" t="s">
        <v>25</v>
      </c>
      <c r="F310" s="5" t="s">
        <v>1363</v>
      </c>
      <c r="G310" s="8">
        <v>45430</v>
      </c>
      <c r="H310" s="8" t="str">
        <f t="shared" si="4"/>
        <v>May</v>
      </c>
      <c r="I310" s="5">
        <v>7500</v>
      </c>
      <c r="J310" s="5">
        <v>7500</v>
      </c>
      <c r="K310" s="5">
        <f>student_data[[#This Row],[Total Fee]]-student_data[[#This Row],[Deposit Fee]]</f>
        <v>0</v>
      </c>
      <c r="L310" s="5" t="str">
        <f>IF(student_data[[#This Row],[Outstanding Fee]]=0,"Paid",IF(student_data[[#This Row],[Deposit Fee]]=0,"Unpaid","Partially Paid"))</f>
        <v>Paid</v>
      </c>
      <c r="M310" s="5" t="s">
        <v>19</v>
      </c>
      <c r="N310"/>
      <c r="O310"/>
      <c r="P310"/>
      <c r="Q310"/>
      <c r="R310"/>
      <c r="S310"/>
      <c r="T310"/>
      <c r="U310"/>
      <c r="V310"/>
      <c r="W310"/>
    </row>
    <row r="311" spans="1:23" ht="15.4">
      <c r="A311" s="5">
        <v>647</v>
      </c>
      <c r="B311" s="5">
        <v>18647</v>
      </c>
      <c r="C311" s="5" t="s">
        <v>1021</v>
      </c>
      <c r="D311" s="5" t="s">
        <v>1022</v>
      </c>
      <c r="E311" s="5" t="s">
        <v>9</v>
      </c>
      <c r="F311" s="5" t="s">
        <v>1363</v>
      </c>
      <c r="G311" s="8">
        <v>45430</v>
      </c>
      <c r="H311" s="8" t="str">
        <f t="shared" si="4"/>
        <v>May</v>
      </c>
      <c r="I311" s="5">
        <v>7500</v>
      </c>
      <c r="J311" s="5">
        <v>6900</v>
      </c>
      <c r="K311" s="5">
        <f>student_data[[#This Row],[Total Fee]]-student_data[[#This Row],[Deposit Fee]]</f>
        <v>600</v>
      </c>
      <c r="L311" s="5" t="str">
        <f>IF(student_data[[#This Row],[Outstanding Fee]]=0,"Paid",IF(student_data[[#This Row],[Deposit Fee]]=0,"Unpaid","Partially Paid"))</f>
        <v>Partially Paid</v>
      </c>
      <c r="M311" s="5" t="s">
        <v>47</v>
      </c>
      <c r="N311"/>
      <c r="O311"/>
      <c r="P311"/>
      <c r="Q311"/>
      <c r="R311"/>
      <c r="S311"/>
      <c r="T311"/>
      <c r="U311"/>
      <c r="V311"/>
      <c r="W311"/>
    </row>
    <row r="312" spans="1:23" ht="15.4">
      <c r="A312" s="5">
        <v>154</v>
      </c>
      <c r="B312" s="5">
        <v>18154</v>
      </c>
      <c r="C312" s="5" t="s">
        <v>274</v>
      </c>
      <c r="D312" s="5" t="s">
        <v>275</v>
      </c>
      <c r="E312" s="5" t="s">
        <v>25</v>
      </c>
      <c r="F312" s="5" t="s">
        <v>1363</v>
      </c>
      <c r="G312" s="8">
        <v>45432</v>
      </c>
      <c r="H312" s="8" t="str">
        <f t="shared" si="4"/>
        <v>May</v>
      </c>
      <c r="I312" s="5">
        <v>7500</v>
      </c>
      <c r="J312" s="5">
        <v>7500</v>
      </c>
      <c r="K312" s="5">
        <f>student_data[[#This Row],[Total Fee]]-student_data[[#This Row],[Deposit Fee]]</f>
        <v>0</v>
      </c>
      <c r="L312" s="5" t="str">
        <f>IF(student_data[[#This Row],[Outstanding Fee]]=0,"Paid",IF(student_data[[#This Row],[Deposit Fee]]=0,"Unpaid","Partially Paid"))</f>
        <v>Paid</v>
      </c>
      <c r="M312" s="5" t="s">
        <v>47</v>
      </c>
      <c r="N312"/>
      <c r="O312"/>
      <c r="P312"/>
      <c r="Q312"/>
      <c r="R312"/>
      <c r="S312"/>
      <c r="T312"/>
      <c r="U312"/>
      <c r="V312"/>
      <c r="W312"/>
    </row>
    <row r="313" spans="1:23" ht="15.4">
      <c r="A313" s="5">
        <v>155</v>
      </c>
      <c r="B313" s="5">
        <v>18155</v>
      </c>
      <c r="C313" s="5" t="s">
        <v>276</v>
      </c>
      <c r="D313" s="5" t="s">
        <v>180</v>
      </c>
      <c r="E313" s="5" t="s">
        <v>9</v>
      </c>
      <c r="F313" s="5" t="s">
        <v>1363</v>
      </c>
      <c r="G313" s="8">
        <v>45432</v>
      </c>
      <c r="H313" s="8" t="str">
        <f t="shared" si="4"/>
        <v>May</v>
      </c>
      <c r="I313" s="5">
        <v>7500</v>
      </c>
      <c r="J313" s="5">
        <v>7100</v>
      </c>
      <c r="K313" s="5">
        <f>student_data[[#This Row],[Total Fee]]-student_data[[#This Row],[Deposit Fee]]</f>
        <v>400</v>
      </c>
      <c r="L313" s="5" t="str">
        <f>IF(student_data[[#This Row],[Outstanding Fee]]=0,"Paid",IF(student_data[[#This Row],[Deposit Fee]]=0,"Unpaid","Partially Paid"))</f>
        <v>Partially Paid</v>
      </c>
      <c r="M313" s="5" t="s">
        <v>78</v>
      </c>
      <c r="N313"/>
      <c r="O313"/>
      <c r="P313"/>
      <c r="Q313"/>
      <c r="R313"/>
      <c r="S313"/>
      <c r="T313"/>
      <c r="U313"/>
      <c r="V313"/>
      <c r="W313"/>
    </row>
    <row r="314" spans="1:23" ht="15.4">
      <c r="A314" s="5">
        <v>156</v>
      </c>
      <c r="B314" s="5">
        <v>18156</v>
      </c>
      <c r="C314" s="5" t="s">
        <v>277</v>
      </c>
      <c r="D314" s="5" t="s">
        <v>278</v>
      </c>
      <c r="E314" s="5" t="s">
        <v>25</v>
      </c>
      <c r="F314" s="5" t="s">
        <v>1363</v>
      </c>
      <c r="G314" s="8">
        <v>45432</v>
      </c>
      <c r="H314" s="8" t="str">
        <f t="shared" si="4"/>
        <v>May</v>
      </c>
      <c r="I314" s="5">
        <v>7500</v>
      </c>
      <c r="J314" s="5">
        <v>7500</v>
      </c>
      <c r="K314" s="5">
        <f>student_data[[#This Row],[Total Fee]]-student_data[[#This Row],[Deposit Fee]]</f>
        <v>0</v>
      </c>
      <c r="L314" s="5" t="str">
        <f>IF(student_data[[#This Row],[Outstanding Fee]]=0,"Paid",IF(student_data[[#This Row],[Deposit Fee]]=0,"Unpaid","Partially Paid"))</f>
        <v>Paid</v>
      </c>
      <c r="M314" s="5" t="s">
        <v>16</v>
      </c>
      <c r="N314"/>
      <c r="O314"/>
      <c r="P314"/>
      <c r="Q314"/>
      <c r="R314"/>
      <c r="S314"/>
      <c r="T314"/>
      <c r="U314"/>
      <c r="V314"/>
      <c r="W314"/>
    </row>
    <row r="315" spans="1:23" ht="15.4">
      <c r="A315" s="5">
        <v>157</v>
      </c>
      <c r="B315" s="5">
        <v>18157</v>
      </c>
      <c r="C315" s="5" t="s">
        <v>279</v>
      </c>
      <c r="D315" s="5" t="s">
        <v>280</v>
      </c>
      <c r="E315" s="5" t="s">
        <v>9</v>
      </c>
      <c r="F315" s="5" t="s">
        <v>1363</v>
      </c>
      <c r="G315" s="8">
        <v>45433</v>
      </c>
      <c r="H315" s="8" t="str">
        <f t="shared" si="4"/>
        <v>May</v>
      </c>
      <c r="I315" s="5">
        <v>7500</v>
      </c>
      <c r="J315" s="5">
        <v>6900</v>
      </c>
      <c r="K315" s="5">
        <f>student_data[[#This Row],[Total Fee]]-student_data[[#This Row],[Deposit Fee]]</f>
        <v>600</v>
      </c>
      <c r="L315" s="5" t="str">
        <f>IF(student_data[[#This Row],[Outstanding Fee]]=0,"Paid",IF(student_data[[#This Row],[Deposit Fee]]=0,"Unpaid","Partially Paid"))</f>
        <v>Partially Paid</v>
      </c>
      <c r="M315" s="5" t="s">
        <v>19</v>
      </c>
      <c r="N315"/>
      <c r="O315"/>
      <c r="P315"/>
      <c r="Q315"/>
      <c r="R315"/>
      <c r="S315"/>
      <c r="T315"/>
      <c r="U315"/>
      <c r="V315"/>
      <c r="W315"/>
    </row>
    <row r="316" spans="1:23" ht="15.4">
      <c r="A316" s="5">
        <v>158</v>
      </c>
      <c r="B316" s="5">
        <v>18158</v>
      </c>
      <c r="C316" s="5" t="s">
        <v>281</v>
      </c>
      <c r="D316" s="5" t="s">
        <v>282</v>
      </c>
      <c r="E316" s="5" t="s">
        <v>9</v>
      </c>
      <c r="F316" s="5" t="s">
        <v>1363</v>
      </c>
      <c r="G316" s="8">
        <v>45433</v>
      </c>
      <c r="H316" s="8" t="str">
        <f t="shared" si="4"/>
        <v>May</v>
      </c>
      <c r="I316" s="5">
        <v>7500</v>
      </c>
      <c r="J316" s="5">
        <v>7100</v>
      </c>
      <c r="K316" s="5">
        <f>student_data[[#This Row],[Total Fee]]-student_data[[#This Row],[Deposit Fee]]</f>
        <v>400</v>
      </c>
      <c r="L316" s="5" t="str">
        <f>IF(student_data[[#This Row],[Outstanding Fee]]=0,"Paid",IF(student_data[[#This Row],[Deposit Fee]]=0,"Unpaid","Partially Paid"))</f>
        <v>Partially Paid</v>
      </c>
      <c r="M316" s="5" t="s">
        <v>47</v>
      </c>
      <c r="N316"/>
      <c r="O316"/>
      <c r="P316"/>
      <c r="Q316"/>
      <c r="R316"/>
      <c r="S316"/>
      <c r="T316"/>
      <c r="U316"/>
      <c r="V316"/>
      <c r="W316"/>
    </row>
    <row r="317" spans="1:23" ht="15.4">
      <c r="A317" s="5">
        <v>159</v>
      </c>
      <c r="B317" s="5">
        <v>18159</v>
      </c>
      <c r="C317" s="5" t="s">
        <v>283</v>
      </c>
      <c r="D317" s="5" t="s">
        <v>115</v>
      </c>
      <c r="E317" s="5" t="s">
        <v>9</v>
      </c>
      <c r="F317" s="5" t="s">
        <v>1363</v>
      </c>
      <c r="G317" s="8">
        <v>45433</v>
      </c>
      <c r="H317" s="8" t="str">
        <f t="shared" si="4"/>
        <v>May</v>
      </c>
      <c r="I317" s="5">
        <v>7500</v>
      </c>
      <c r="J317" s="5">
        <v>6900</v>
      </c>
      <c r="K317" s="5">
        <f>student_data[[#This Row],[Total Fee]]-student_data[[#This Row],[Deposit Fee]]</f>
        <v>600</v>
      </c>
      <c r="L317" s="5" t="str">
        <f>IF(student_data[[#This Row],[Outstanding Fee]]=0,"Paid",IF(student_data[[#This Row],[Deposit Fee]]=0,"Unpaid","Partially Paid"))</f>
        <v>Partially Paid</v>
      </c>
      <c r="M317" s="5" t="s">
        <v>75</v>
      </c>
      <c r="N317"/>
      <c r="O317"/>
      <c r="P317"/>
      <c r="Q317"/>
      <c r="R317"/>
      <c r="S317"/>
      <c r="T317"/>
      <c r="U317"/>
      <c r="V317"/>
      <c r="W317"/>
    </row>
    <row r="318" spans="1:23" ht="15.4">
      <c r="A318" s="5">
        <v>160</v>
      </c>
      <c r="B318" s="5">
        <v>18160</v>
      </c>
      <c r="C318" s="5" t="s">
        <v>284</v>
      </c>
      <c r="D318" s="5" t="s">
        <v>285</v>
      </c>
      <c r="E318" s="5" t="s">
        <v>25</v>
      </c>
      <c r="F318" s="5" t="s">
        <v>1363</v>
      </c>
      <c r="G318" s="8">
        <v>45434</v>
      </c>
      <c r="H318" s="8" t="str">
        <f t="shared" si="4"/>
        <v>May</v>
      </c>
      <c r="I318" s="5">
        <v>7500</v>
      </c>
      <c r="J318" s="5">
        <v>7500</v>
      </c>
      <c r="K318" s="5">
        <f>student_data[[#This Row],[Total Fee]]-student_data[[#This Row],[Deposit Fee]]</f>
        <v>0</v>
      </c>
      <c r="L318" s="5" t="str">
        <f>IF(student_data[[#This Row],[Outstanding Fee]]=0,"Paid",IF(student_data[[#This Row],[Deposit Fee]]=0,"Unpaid","Partially Paid"))</f>
        <v>Paid</v>
      </c>
      <c r="M318" s="5" t="s">
        <v>89</v>
      </c>
      <c r="N318"/>
      <c r="O318"/>
      <c r="P318"/>
      <c r="Q318"/>
      <c r="R318"/>
      <c r="S318"/>
      <c r="T318"/>
      <c r="U318"/>
      <c r="V318"/>
      <c r="W318"/>
    </row>
    <row r="319" spans="1:23" ht="15.4">
      <c r="A319" s="5">
        <v>161</v>
      </c>
      <c r="B319" s="5">
        <v>18161</v>
      </c>
      <c r="C319" s="5" t="s">
        <v>286</v>
      </c>
      <c r="D319" s="5" t="s">
        <v>224</v>
      </c>
      <c r="E319" s="5" t="s">
        <v>9</v>
      </c>
      <c r="F319" s="5" t="s">
        <v>1363</v>
      </c>
      <c r="G319" s="8">
        <v>45434</v>
      </c>
      <c r="H319" s="8" t="str">
        <f t="shared" si="4"/>
        <v>May</v>
      </c>
      <c r="I319" s="5">
        <v>7500</v>
      </c>
      <c r="J319" s="5">
        <v>7500</v>
      </c>
      <c r="K319" s="5">
        <f>student_data[[#This Row],[Total Fee]]-student_data[[#This Row],[Deposit Fee]]</f>
        <v>0</v>
      </c>
      <c r="L319" s="5" t="str">
        <f>IF(student_data[[#This Row],[Outstanding Fee]]=0,"Paid",IF(student_data[[#This Row],[Deposit Fee]]=0,"Unpaid","Partially Paid"))</f>
        <v>Paid</v>
      </c>
      <c r="M319" s="5" t="s">
        <v>19</v>
      </c>
      <c r="N319"/>
      <c r="O319"/>
      <c r="P319"/>
      <c r="Q319"/>
      <c r="R319"/>
      <c r="S319"/>
      <c r="T319"/>
      <c r="U319"/>
      <c r="V319"/>
      <c r="W319"/>
    </row>
    <row r="320" spans="1:23" ht="15.4">
      <c r="A320" s="5">
        <v>162</v>
      </c>
      <c r="B320" s="5">
        <v>18162</v>
      </c>
      <c r="C320" s="5" t="s">
        <v>277</v>
      </c>
      <c r="D320" s="5" t="s">
        <v>287</v>
      </c>
      <c r="E320" s="5" t="s">
        <v>25</v>
      </c>
      <c r="F320" s="5" t="s">
        <v>1363</v>
      </c>
      <c r="G320" s="8">
        <v>45434</v>
      </c>
      <c r="H320" s="8" t="str">
        <f t="shared" si="4"/>
        <v>May</v>
      </c>
      <c r="I320" s="5">
        <v>7500</v>
      </c>
      <c r="J320" s="5">
        <v>7500</v>
      </c>
      <c r="K320" s="5">
        <f>student_data[[#This Row],[Total Fee]]-student_data[[#This Row],[Deposit Fee]]</f>
        <v>0</v>
      </c>
      <c r="L320" s="5" t="str">
        <f>IF(student_data[[#This Row],[Outstanding Fee]]=0,"Paid",IF(student_data[[#This Row],[Deposit Fee]]=0,"Unpaid","Partially Paid"))</f>
        <v>Paid</v>
      </c>
      <c r="M320" s="5" t="s">
        <v>47</v>
      </c>
      <c r="N320"/>
      <c r="O320"/>
      <c r="P320"/>
      <c r="Q320"/>
      <c r="R320"/>
      <c r="S320"/>
      <c r="T320"/>
      <c r="U320"/>
      <c r="V320"/>
      <c r="W320"/>
    </row>
    <row r="321" spans="1:23" ht="15.4">
      <c r="A321" s="5">
        <v>163</v>
      </c>
      <c r="B321" s="5">
        <v>18163</v>
      </c>
      <c r="C321" s="5" t="s">
        <v>288</v>
      </c>
      <c r="D321" s="5" t="s">
        <v>289</v>
      </c>
      <c r="E321" s="5" t="s">
        <v>9</v>
      </c>
      <c r="F321" s="5" t="s">
        <v>1363</v>
      </c>
      <c r="G321" s="8">
        <v>45435</v>
      </c>
      <c r="H321" s="8" t="str">
        <f t="shared" si="4"/>
        <v>May</v>
      </c>
      <c r="I321" s="5">
        <v>7500</v>
      </c>
      <c r="J321" s="5">
        <v>6900</v>
      </c>
      <c r="K321" s="5">
        <f>student_data[[#This Row],[Total Fee]]-student_data[[#This Row],[Deposit Fee]]</f>
        <v>600</v>
      </c>
      <c r="L321" s="5" t="str">
        <f>IF(student_data[[#This Row],[Outstanding Fee]]=0,"Paid",IF(student_data[[#This Row],[Deposit Fee]]=0,"Unpaid","Partially Paid"))</f>
        <v>Partially Paid</v>
      </c>
      <c r="M321" s="5" t="s">
        <v>75</v>
      </c>
      <c r="N321"/>
      <c r="O321"/>
      <c r="P321"/>
      <c r="Q321"/>
      <c r="R321"/>
      <c r="S321"/>
      <c r="T321"/>
      <c r="U321"/>
      <c r="V321"/>
      <c r="W321"/>
    </row>
    <row r="322" spans="1:23" ht="15.4">
      <c r="A322" s="5">
        <v>164</v>
      </c>
      <c r="B322" s="5">
        <v>18164</v>
      </c>
      <c r="C322" s="5" t="s">
        <v>290</v>
      </c>
      <c r="D322" s="5" t="s">
        <v>291</v>
      </c>
      <c r="E322" s="5" t="s">
        <v>9</v>
      </c>
      <c r="F322" s="5" t="s">
        <v>1363</v>
      </c>
      <c r="G322" s="8">
        <v>45435</v>
      </c>
      <c r="H322" s="8" t="str">
        <f t="shared" ref="H322:H385" si="5">TEXT(G322,"mmm")</f>
        <v>May</v>
      </c>
      <c r="I322" s="5">
        <v>7500</v>
      </c>
      <c r="J322" s="5">
        <v>7500</v>
      </c>
      <c r="K322" s="5">
        <f>student_data[[#This Row],[Total Fee]]-student_data[[#This Row],[Deposit Fee]]</f>
        <v>0</v>
      </c>
      <c r="L322" s="5" t="str">
        <f>IF(student_data[[#This Row],[Outstanding Fee]]=0,"Paid",IF(student_data[[#This Row],[Deposit Fee]]=0,"Unpaid","Partially Paid"))</f>
        <v>Paid</v>
      </c>
      <c r="M322" s="5" t="s">
        <v>89</v>
      </c>
      <c r="N322"/>
      <c r="O322"/>
      <c r="P322"/>
      <c r="Q322"/>
      <c r="R322"/>
      <c r="S322"/>
      <c r="T322"/>
      <c r="U322"/>
      <c r="V322"/>
      <c r="W322"/>
    </row>
    <row r="323" spans="1:23" ht="15.4">
      <c r="A323" s="5">
        <v>165</v>
      </c>
      <c r="B323" s="5">
        <v>18165</v>
      </c>
      <c r="C323" s="5" t="s">
        <v>292</v>
      </c>
      <c r="D323" s="5" t="s">
        <v>293</v>
      </c>
      <c r="E323" s="5" t="s">
        <v>25</v>
      </c>
      <c r="F323" s="5" t="s">
        <v>1363</v>
      </c>
      <c r="G323" s="8">
        <v>45435</v>
      </c>
      <c r="H323" s="8" t="str">
        <f t="shared" si="5"/>
        <v>May</v>
      </c>
      <c r="I323" s="5">
        <v>7500</v>
      </c>
      <c r="J323" s="5">
        <v>6900</v>
      </c>
      <c r="K323" s="5">
        <f>student_data[[#This Row],[Total Fee]]-student_data[[#This Row],[Deposit Fee]]</f>
        <v>600</v>
      </c>
      <c r="L323" s="5" t="str">
        <f>IF(student_data[[#This Row],[Outstanding Fee]]=0,"Paid",IF(student_data[[#This Row],[Deposit Fee]]=0,"Unpaid","Partially Paid"))</f>
        <v>Partially Paid</v>
      </c>
      <c r="M323" s="5" t="s">
        <v>29</v>
      </c>
      <c r="N323"/>
      <c r="O323"/>
      <c r="P323"/>
      <c r="Q323"/>
      <c r="R323"/>
      <c r="S323"/>
      <c r="T323"/>
      <c r="U323"/>
      <c r="V323"/>
      <c r="W323"/>
    </row>
    <row r="324" spans="1:23" ht="15.4">
      <c r="A324" s="5">
        <v>166</v>
      </c>
      <c r="B324" s="5">
        <v>18166</v>
      </c>
      <c r="C324" s="5" t="s">
        <v>294</v>
      </c>
      <c r="D324" s="5" t="s">
        <v>295</v>
      </c>
      <c r="E324" s="5" t="s">
        <v>9</v>
      </c>
      <c r="F324" s="5" t="s">
        <v>1363</v>
      </c>
      <c r="G324" s="8">
        <v>45436</v>
      </c>
      <c r="H324" s="8" t="str">
        <f t="shared" si="5"/>
        <v>May</v>
      </c>
      <c r="I324" s="5">
        <v>7500</v>
      </c>
      <c r="J324" s="5">
        <v>7500</v>
      </c>
      <c r="K324" s="5">
        <f>student_data[[#This Row],[Total Fee]]-student_data[[#This Row],[Deposit Fee]]</f>
        <v>0</v>
      </c>
      <c r="L324" s="5" t="str">
        <f>IF(student_data[[#This Row],[Outstanding Fee]]=0,"Paid",IF(student_data[[#This Row],[Deposit Fee]]=0,"Unpaid","Partially Paid"))</f>
        <v>Paid</v>
      </c>
      <c r="M324" s="5" t="s">
        <v>75</v>
      </c>
      <c r="N324"/>
      <c r="O324"/>
      <c r="P324"/>
      <c r="Q324"/>
      <c r="R324"/>
      <c r="S324"/>
      <c r="T324"/>
      <c r="U324"/>
      <c r="V324"/>
      <c r="W324"/>
    </row>
    <row r="325" spans="1:23" ht="15.4">
      <c r="A325" s="5">
        <v>167</v>
      </c>
      <c r="B325" s="5">
        <v>18167</v>
      </c>
      <c r="C325" s="5" t="s">
        <v>296</v>
      </c>
      <c r="D325" s="5" t="s">
        <v>297</v>
      </c>
      <c r="E325" s="5" t="s">
        <v>9</v>
      </c>
      <c r="F325" s="5" t="s">
        <v>1363</v>
      </c>
      <c r="G325" s="8">
        <v>45436</v>
      </c>
      <c r="H325" s="8" t="str">
        <f t="shared" si="5"/>
        <v>May</v>
      </c>
      <c r="I325" s="5">
        <v>7500</v>
      </c>
      <c r="J325" s="5">
        <v>7500</v>
      </c>
      <c r="K325" s="5">
        <f>student_data[[#This Row],[Total Fee]]-student_data[[#This Row],[Deposit Fee]]</f>
        <v>0</v>
      </c>
      <c r="L325" s="5" t="str">
        <f>IF(student_data[[#This Row],[Outstanding Fee]]=0,"Paid",IF(student_data[[#This Row],[Deposit Fee]]=0,"Unpaid","Partially Paid"))</f>
        <v>Paid</v>
      </c>
      <c r="M325" s="5" t="s">
        <v>75</v>
      </c>
      <c r="N325"/>
      <c r="O325"/>
      <c r="P325"/>
      <c r="Q325"/>
      <c r="R325"/>
      <c r="S325"/>
      <c r="T325"/>
      <c r="U325"/>
      <c r="V325"/>
      <c r="W325"/>
    </row>
    <row r="326" spans="1:23" ht="15.4">
      <c r="A326" s="5">
        <v>168</v>
      </c>
      <c r="B326" s="5">
        <v>18168</v>
      </c>
      <c r="C326" s="5" t="s">
        <v>298</v>
      </c>
      <c r="D326" s="5" t="s">
        <v>299</v>
      </c>
      <c r="E326" s="5" t="s">
        <v>9</v>
      </c>
      <c r="F326" s="5" t="s">
        <v>1363</v>
      </c>
      <c r="G326" s="8">
        <v>45436</v>
      </c>
      <c r="H326" s="8" t="str">
        <f t="shared" si="5"/>
        <v>May</v>
      </c>
      <c r="I326" s="5">
        <v>7500</v>
      </c>
      <c r="J326" s="5">
        <v>7100</v>
      </c>
      <c r="K326" s="5">
        <f>student_data[[#This Row],[Total Fee]]-student_data[[#This Row],[Deposit Fee]]</f>
        <v>400</v>
      </c>
      <c r="L326" s="5" t="str">
        <f>IF(student_data[[#This Row],[Outstanding Fee]]=0,"Paid",IF(student_data[[#This Row],[Deposit Fee]]=0,"Unpaid","Partially Paid"))</f>
        <v>Partially Paid</v>
      </c>
      <c r="M326" s="5" t="s">
        <v>19</v>
      </c>
      <c r="N326"/>
      <c r="O326"/>
      <c r="P326"/>
      <c r="Q326"/>
      <c r="R326"/>
      <c r="S326"/>
      <c r="T326"/>
      <c r="U326"/>
      <c r="V326"/>
      <c r="W326"/>
    </row>
    <row r="327" spans="1:23" ht="15.4">
      <c r="A327" s="5">
        <v>91</v>
      </c>
      <c r="B327" s="5">
        <v>18091</v>
      </c>
      <c r="C327" s="5" t="s">
        <v>183</v>
      </c>
      <c r="D327" s="5" t="s">
        <v>184</v>
      </c>
      <c r="E327" s="5" t="s">
        <v>25</v>
      </c>
      <c r="F327" s="5" t="s">
        <v>1363</v>
      </c>
      <c r="G327" s="8">
        <v>45437</v>
      </c>
      <c r="H327" s="8" t="str">
        <f t="shared" si="5"/>
        <v>May</v>
      </c>
      <c r="I327" s="5">
        <v>7500</v>
      </c>
      <c r="J327" s="5">
        <v>6900</v>
      </c>
      <c r="K327" s="5">
        <f>student_data[[#This Row],[Total Fee]]-student_data[[#This Row],[Deposit Fee]]</f>
        <v>600</v>
      </c>
      <c r="L327" s="5" t="str">
        <f>IF(student_data[[#This Row],[Outstanding Fee]]=0,"Paid",IF(student_data[[#This Row],[Deposit Fee]]=0,"Unpaid","Partially Paid"))</f>
        <v>Partially Paid</v>
      </c>
      <c r="M327" s="5" t="s">
        <v>47</v>
      </c>
      <c r="N327"/>
      <c r="O327"/>
      <c r="P327"/>
      <c r="Q327"/>
      <c r="R327"/>
      <c r="S327"/>
      <c r="T327"/>
      <c r="U327"/>
      <c r="V327"/>
      <c r="W327"/>
    </row>
    <row r="328" spans="1:23" ht="15.4">
      <c r="A328" s="5">
        <v>169</v>
      </c>
      <c r="B328" s="5">
        <v>18169</v>
      </c>
      <c r="C328" s="5" t="s">
        <v>300</v>
      </c>
      <c r="D328" s="5" t="s">
        <v>278</v>
      </c>
      <c r="E328" s="5" t="s">
        <v>25</v>
      </c>
      <c r="F328" s="5" t="s">
        <v>1363</v>
      </c>
      <c r="G328" s="8">
        <v>45437</v>
      </c>
      <c r="H328" s="8" t="str">
        <f t="shared" si="5"/>
        <v>May</v>
      </c>
      <c r="I328" s="5">
        <v>7500</v>
      </c>
      <c r="J328" s="5">
        <v>7100</v>
      </c>
      <c r="K328" s="5">
        <f>student_data[[#This Row],[Total Fee]]-student_data[[#This Row],[Deposit Fee]]</f>
        <v>400</v>
      </c>
      <c r="L328" s="5" t="str">
        <f>IF(student_data[[#This Row],[Outstanding Fee]]=0,"Paid",IF(student_data[[#This Row],[Deposit Fee]]=0,"Unpaid","Partially Paid"))</f>
        <v>Partially Paid</v>
      </c>
      <c r="M328" s="5" t="s">
        <v>47</v>
      </c>
      <c r="N328"/>
      <c r="O328"/>
      <c r="P328"/>
      <c r="Q328"/>
      <c r="R328"/>
      <c r="S328"/>
      <c r="T328"/>
      <c r="U328"/>
      <c r="V328"/>
      <c r="W328"/>
    </row>
    <row r="329" spans="1:23" ht="15.4">
      <c r="A329" s="5">
        <v>170</v>
      </c>
      <c r="B329" s="5">
        <v>18170</v>
      </c>
      <c r="C329" s="5" t="s">
        <v>301</v>
      </c>
      <c r="D329" s="5" t="s">
        <v>302</v>
      </c>
      <c r="E329" s="5" t="s">
        <v>25</v>
      </c>
      <c r="F329" s="5" t="s">
        <v>1363</v>
      </c>
      <c r="G329" s="8">
        <v>45437</v>
      </c>
      <c r="H329" s="8" t="str">
        <f t="shared" si="5"/>
        <v>May</v>
      </c>
      <c r="I329" s="5">
        <v>7500</v>
      </c>
      <c r="J329" s="5">
        <v>6900</v>
      </c>
      <c r="K329" s="5">
        <f>student_data[[#This Row],[Total Fee]]-student_data[[#This Row],[Deposit Fee]]</f>
        <v>600</v>
      </c>
      <c r="L329" s="5" t="str">
        <f>IF(student_data[[#This Row],[Outstanding Fee]]=0,"Paid",IF(student_data[[#This Row],[Deposit Fee]]=0,"Unpaid","Partially Paid"))</f>
        <v>Partially Paid</v>
      </c>
      <c r="M329" s="5" t="s">
        <v>47</v>
      </c>
      <c r="N329"/>
      <c r="O329"/>
      <c r="P329"/>
      <c r="Q329"/>
      <c r="R329"/>
      <c r="S329"/>
      <c r="T329"/>
      <c r="U329"/>
      <c r="V329"/>
      <c r="W329"/>
    </row>
    <row r="330" spans="1:23" ht="15.4">
      <c r="A330" s="5">
        <v>92</v>
      </c>
      <c r="B330" s="5">
        <v>18092</v>
      </c>
      <c r="C330" s="5" t="s">
        <v>185</v>
      </c>
      <c r="D330" s="5" t="s">
        <v>186</v>
      </c>
      <c r="E330" s="5" t="s">
        <v>9</v>
      </c>
      <c r="F330" s="5" t="s">
        <v>1363</v>
      </c>
      <c r="G330" s="8">
        <v>45439</v>
      </c>
      <c r="H330" s="8" t="str">
        <f t="shared" si="5"/>
        <v>May</v>
      </c>
      <c r="I330" s="5">
        <v>7500</v>
      </c>
      <c r="J330" s="5">
        <v>7500</v>
      </c>
      <c r="K330" s="5">
        <f>student_data[[#This Row],[Total Fee]]-student_data[[#This Row],[Deposit Fee]]</f>
        <v>0</v>
      </c>
      <c r="L330" s="5" t="str">
        <f>IF(student_data[[#This Row],[Outstanding Fee]]=0,"Paid",IF(student_data[[#This Row],[Deposit Fee]]=0,"Unpaid","Partially Paid"))</f>
        <v>Paid</v>
      </c>
      <c r="M330" s="5" t="s">
        <v>19</v>
      </c>
      <c r="N330"/>
      <c r="O330"/>
      <c r="P330"/>
      <c r="Q330"/>
      <c r="R330"/>
      <c r="S330"/>
      <c r="T330"/>
      <c r="U330"/>
      <c r="V330"/>
      <c r="W330"/>
    </row>
    <row r="331" spans="1:23" ht="15.4">
      <c r="A331" s="5">
        <v>93</v>
      </c>
      <c r="B331" s="5">
        <v>18093</v>
      </c>
      <c r="C331" s="5" t="s">
        <v>187</v>
      </c>
      <c r="D331" s="5" t="s">
        <v>63</v>
      </c>
      <c r="E331" s="5" t="s">
        <v>9</v>
      </c>
      <c r="F331" s="5" t="s">
        <v>1363</v>
      </c>
      <c r="G331" s="8">
        <v>45439</v>
      </c>
      <c r="H331" s="8" t="str">
        <f t="shared" si="5"/>
        <v>May</v>
      </c>
      <c r="I331" s="5">
        <v>7500</v>
      </c>
      <c r="J331" s="5">
        <v>500</v>
      </c>
      <c r="K331" s="5">
        <f>student_data[[#This Row],[Total Fee]]-student_data[[#This Row],[Deposit Fee]]</f>
        <v>7000</v>
      </c>
      <c r="L331" s="5" t="str">
        <f>IF(student_data[[#This Row],[Outstanding Fee]]=0,"Paid",IF(student_data[[#This Row],[Deposit Fee]]=0,"Unpaid","Partially Paid"))</f>
        <v>Partially Paid</v>
      </c>
      <c r="M331" s="5" t="s">
        <v>47</v>
      </c>
      <c r="N331"/>
      <c r="O331"/>
      <c r="P331"/>
      <c r="Q331"/>
      <c r="R331"/>
      <c r="S331"/>
      <c r="T331"/>
      <c r="U331"/>
      <c r="V331"/>
      <c r="W331"/>
    </row>
    <row r="332" spans="1:23" ht="15.4">
      <c r="A332" s="5">
        <v>94</v>
      </c>
      <c r="B332" s="5">
        <v>18094</v>
      </c>
      <c r="C332" s="5" t="s">
        <v>188</v>
      </c>
      <c r="D332" s="5" t="s">
        <v>61</v>
      </c>
      <c r="E332" s="5" t="s">
        <v>9</v>
      </c>
      <c r="F332" s="5" t="s">
        <v>1363</v>
      </c>
      <c r="G332" s="8">
        <v>45439</v>
      </c>
      <c r="H332" s="8" t="str">
        <f t="shared" si="5"/>
        <v>May</v>
      </c>
      <c r="I332" s="5">
        <v>7500</v>
      </c>
      <c r="J332" s="5">
        <v>7500</v>
      </c>
      <c r="K332" s="5">
        <f>student_data[[#This Row],[Total Fee]]-student_data[[#This Row],[Deposit Fee]]</f>
        <v>0</v>
      </c>
      <c r="L332" s="5" t="str">
        <f>IF(student_data[[#This Row],[Outstanding Fee]]=0,"Paid",IF(student_data[[#This Row],[Deposit Fee]]=0,"Unpaid","Partially Paid"))</f>
        <v>Paid</v>
      </c>
      <c r="M332" s="5" t="s">
        <v>75</v>
      </c>
      <c r="N332"/>
      <c r="O332"/>
      <c r="P332"/>
      <c r="Q332"/>
      <c r="R332"/>
      <c r="S332"/>
      <c r="T332"/>
      <c r="U332"/>
      <c r="V332"/>
      <c r="W332"/>
    </row>
    <row r="333" spans="1:23" ht="15.4">
      <c r="A333" s="5">
        <v>95</v>
      </c>
      <c r="B333" s="5">
        <v>18095</v>
      </c>
      <c r="C333" s="5" t="s">
        <v>189</v>
      </c>
      <c r="D333" s="5" t="s">
        <v>190</v>
      </c>
      <c r="E333" s="5" t="s">
        <v>9</v>
      </c>
      <c r="F333" s="5" t="s">
        <v>1363</v>
      </c>
      <c r="G333" s="8">
        <v>45440</v>
      </c>
      <c r="H333" s="8" t="str">
        <f t="shared" si="5"/>
        <v>May</v>
      </c>
      <c r="I333" s="5">
        <v>7500</v>
      </c>
      <c r="J333" s="5">
        <v>6900</v>
      </c>
      <c r="K333" s="5">
        <f>student_data[[#This Row],[Total Fee]]-student_data[[#This Row],[Deposit Fee]]</f>
        <v>600</v>
      </c>
      <c r="L333" s="5" t="str">
        <f>IF(student_data[[#This Row],[Outstanding Fee]]=0,"Paid",IF(student_data[[#This Row],[Deposit Fee]]=0,"Unpaid","Partially Paid"))</f>
        <v>Partially Paid</v>
      </c>
      <c r="M333" s="5" t="s">
        <v>89</v>
      </c>
      <c r="N333"/>
      <c r="O333"/>
      <c r="P333"/>
      <c r="Q333"/>
      <c r="R333"/>
      <c r="S333"/>
      <c r="T333"/>
      <c r="U333"/>
      <c r="V333"/>
      <c r="W333"/>
    </row>
    <row r="334" spans="1:23" ht="15.4">
      <c r="A334" s="5">
        <v>96</v>
      </c>
      <c r="B334" s="5">
        <v>18096</v>
      </c>
      <c r="C334" s="5" t="s">
        <v>191</v>
      </c>
      <c r="D334" s="5" t="s">
        <v>192</v>
      </c>
      <c r="E334" s="5" t="s">
        <v>9</v>
      </c>
      <c r="F334" s="5" t="s">
        <v>1362</v>
      </c>
      <c r="G334" s="8">
        <v>45440</v>
      </c>
      <c r="H334" s="8" t="str">
        <f t="shared" si="5"/>
        <v>May</v>
      </c>
      <c r="I334" s="5">
        <v>3200</v>
      </c>
      <c r="J334" s="5">
        <v>3200</v>
      </c>
      <c r="K334" s="5">
        <f>student_data[[#This Row],[Total Fee]]-student_data[[#This Row],[Deposit Fee]]</f>
        <v>0</v>
      </c>
      <c r="L334" s="5" t="str">
        <f>IF(student_data[[#This Row],[Outstanding Fee]]=0,"Paid",IF(student_data[[#This Row],[Deposit Fee]]=0,"Unpaid","Partially Paid"))</f>
        <v>Paid</v>
      </c>
      <c r="M334" s="5" t="s">
        <v>29</v>
      </c>
      <c r="N334"/>
      <c r="O334"/>
      <c r="P334"/>
      <c r="Q334"/>
      <c r="R334"/>
      <c r="S334"/>
      <c r="T334"/>
      <c r="U334"/>
      <c r="V334"/>
      <c r="W334"/>
    </row>
    <row r="335" spans="1:23" ht="15.4">
      <c r="A335" s="5">
        <v>899</v>
      </c>
      <c r="B335" s="5">
        <v>18899</v>
      </c>
      <c r="C335" s="5" t="s">
        <v>793</v>
      </c>
      <c r="D335" s="5" t="s">
        <v>451</v>
      </c>
      <c r="E335" s="5" t="s">
        <v>25</v>
      </c>
      <c r="F335" s="5" t="s">
        <v>1363</v>
      </c>
      <c r="G335" s="8">
        <v>45440</v>
      </c>
      <c r="H335" s="8" t="str">
        <f t="shared" si="5"/>
        <v>May</v>
      </c>
      <c r="I335" s="5">
        <v>7500</v>
      </c>
      <c r="J335" s="5">
        <v>6900</v>
      </c>
      <c r="K335" s="5">
        <f>student_data[[#This Row],[Total Fee]]-student_data[[#This Row],[Deposit Fee]]</f>
        <v>600</v>
      </c>
      <c r="L335" s="5" t="str">
        <f>IF(student_data[[#This Row],[Outstanding Fee]]=0,"Paid",IF(student_data[[#This Row],[Deposit Fee]]=0,"Unpaid","Partially Paid"))</f>
        <v>Partially Paid</v>
      </c>
      <c r="M335" s="5" t="s">
        <v>16</v>
      </c>
      <c r="N335"/>
      <c r="O335"/>
      <c r="P335"/>
      <c r="Q335"/>
      <c r="R335"/>
      <c r="S335"/>
      <c r="T335"/>
      <c r="U335"/>
      <c r="V335"/>
      <c r="W335"/>
    </row>
    <row r="336" spans="1:23" ht="15.4">
      <c r="A336" s="5">
        <v>178</v>
      </c>
      <c r="B336" s="5">
        <v>18178</v>
      </c>
      <c r="C336" s="5" t="s">
        <v>316</v>
      </c>
      <c r="D336" s="5" t="s">
        <v>317</v>
      </c>
      <c r="E336" s="5" t="s">
        <v>25</v>
      </c>
      <c r="F336" s="5" t="s">
        <v>1363</v>
      </c>
      <c r="G336" s="8">
        <v>45441</v>
      </c>
      <c r="H336" s="8" t="str">
        <f t="shared" si="5"/>
        <v>May</v>
      </c>
      <c r="I336" s="5">
        <v>7500</v>
      </c>
      <c r="J336" s="5">
        <v>7500</v>
      </c>
      <c r="K336" s="5">
        <f>student_data[[#This Row],[Total Fee]]-student_data[[#This Row],[Deposit Fee]]</f>
        <v>0</v>
      </c>
      <c r="L336" s="5" t="str">
        <f>IF(student_data[[#This Row],[Outstanding Fee]]=0,"Paid",IF(student_data[[#This Row],[Deposit Fee]]=0,"Unpaid","Partially Paid"))</f>
        <v>Paid</v>
      </c>
      <c r="M336" s="5" t="s">
        <v>13</v>
      </c>
      <c r="N336"/>
      <c r="O336"/>
      <c r="P336"/>
      <c r="Q336"/>
      <c r="R336"/>
      <c r="S336"/>
      <c r="T336"/>
      <c r="U336"/>
      <c r="V336"/>
      <c r="W336"/>
    </row>
    <row r="337" spans="1:23" ht="15.4">
      <c r="A337" s="5">
        <v>179</v>
      </c>
      <c r="B337" s="5">
        <v>18179</v>
      </c>
      <c r="C337" s="5" t="s">
        <v>318</v>
      </c>
      <c r="D337" s="5" t="s">
        <v>319</v>
      </c>
      <c r="E337" s="5" t="s">
        <v>9</v>
      </c>
      <c r="F337" s="5" t="s">
        <v>1363</v>
      </c>
      <c r="G337" s="8">
        <v>45441</v>
      </c>
      <c r="H337" s="8" t="str">
        <f t="shared" si="5"/>
        <v>May</v>
      </c>
      <c r="I337" s="5">
        <v>7500</v>
      </c>
      <c r="J337" s="5">
        <v>7500</v>
      </c>
      <c r="K337" s="5">
        <f>student_data[[#This Row],[Total Fee]]-student_data[[#This Row],[Deposit Fee]]</f>
        <v>0</v>
      </c>
      <c r="L337" s="5" t="str">
        <f>IF(student_data[[#This Row],[Outstanding Fee]]=0,"Paid",IF(student_data[[#This Row],[Deposit Fee]]=0,"Unpaid","Partially Paid"))</f>
        <v>Paid</v>
      </c>
      <c r="M337" s="5" t="s">
        <v>16</v>
      </c>
      <c r="N337"/>
      <c r="O337"/>
      <c r="P337"/>
      <c r="Q337"/>
      <c r="R337"/>
      <c r="S337"/>
      <c r="T337"/>
      <c r="U337"/>
      <c r="V337"/>
      <c r="W337"/>
    </row>
    <row r="338" spans="1:23" ht="15.4">
      <c r="A338" s="5">
        <v>900</v>
      </c>
      <c r="B338" s="5">
        <v>18900</v>
      </c>
      <c r="C338" s="5" t="s">
        <v>1337</v>
      </c>
      <c r="D338" s="5" t="s">
        <v>1338</v>
      </c>
      <c r="E338" s="5" t="s">
        <v>25</v>
      </c>
      <c r="F338" s="5" t="s">
        <v>1363</v>
      </c>
      <c r="G338" s="8">
        <v>45441</v>
      </c>
      <c r="H338" s="8" t="str">
        <f t="shared" si="5"/>
        <v>May</v>
      </c>
      <c r="I338" s="5">
        <v>7500</v>
      </c>
      <c r="J338" s="5">
        <v>7500</v>
      </c>
      <c r="K338" s="5">
        <f>student_data[[#This Row],[Total Fee]]-student_data[[#This Row],[Deposit Fee]]</f>
        <v>0</v>
      </c>
      <c r="L338" s="5" t="str">
        <f>IF(student_data[[#This Row],[Outstanding Fee]]=0,"Paid",IF(student_data[[#This Row],[Deposit Fee]]=0,"Unpaid","Partially Paid"))</f>
        <v>Paid</v>
      </c>
      <c r="M338" s="5" t="s">
        <v>19</v>
      </c>
      <c r="N338"/>
      <c r="O338"/>
      <c r="P338"/>
      <c r="Q338"/>
      <c r="R338"/>
      <c r="S338"/>
      <c r="T338"/>
      <c r="U338"/>
      <c r="V338"/>
      <c r="W338"/>
    </row>
    <row r="339" spans="1:23" ht="15.4">
      <c r="A339" s="5">
        <v>180</v>
      </c>
      <c r="B339" s="5">
        <v>18180</v>
      </c>
      <c r="C339" s="5" t="s">
        <v>320</v>
      </c>
      <c r="D339" s="5" t="s">
        <v>321</v>
      </c>
      <c r="E339" s="5" t="s">
        <v>9</v>
      </c>
      <c r="F339" s="5" t="s">
        <v>1363</v>
      </c>
      <c r="G339" s="8">
        <v>45442</v>
      </c>
      <c r="H339" s="8" t="str">
        <f t="shared" si="5"/>
        <v>May</v>
      </c>
      <c r="I339" s="5">
        <v>7500</v>
      </c>
      <c r="J339" s="5">
        <v>7100</v>
      </c>
      <c r="K339" s="5">
        <f>student_data[[#This Row],[Total Fee]]-student_data[[#This Row],[Deposit Fee]]</f>
        <v>400</v>
      </c>
      <c r="L339" s="5" t="str">
        <f>IF(student_data[[#This Row],[Outstanding Fee]]=0,"Paid",IF(student_data[[#This Row],[Deposit Fee]]=0,"Unpaid","Partially Paid"))</f>
        <v>Partially Paid</v>
      </c>
      <c r="M339" s="5" t="s">
        <v>19</v>
      </c>
      <c r="N339"/>
      <c r="O339"/>
      <c r="P339"/>
      <c r="Q339"/>
      <c r="R339"/>
      <c r="S339"/>
      <c r="T339"/>
      <c r="U339"/>
      <c r="V339"/>
      <c r="W339"/>
    </row>
    <row r="340" spans="1:23" ht="15.4">
      <c r="A340" s="5">
        <v>181</v>
      </c>
      <c r="B340" s="5">
        <v>18181</v>
      </c>
      <c r="C340" s="5" t="s">
        <v>322</v>
      </c>
      <c r="D340" s="5" t="s">
        <v>323</v>
      </c>
      <c r="E340" s="5" t="s">
        <v>9</v>
      </c>
      <c r="F340" s="5" t="s">
        <v>1363</v>
      </c>
      <c r="G340" s="8">
        <v>45442</v>
      </c>
      <c r="H340" s="8" t="str">
        <f t="shared" si="5"/>
        <v>May</v>
      </c>
      <c r="I340" s="5">
        <v>7500</v>
      </c>
      <c r="J340" s="5">
        <v>7100</v>
      </c>
      <c r="K340" s="5">
        <f>student_data[[#This Row],[Total Fee]]-student_data[[#This Row],[Deposit Fee]]</f>
        <v>400</v>
      </c>
      <c r="L340" s="5" t="str">
        <f>IF(student_data[[#This Row],[Outstanding Fee]]=0,"Paid",IF(student_data[[#This Row],[Deposit Fee]]=0,"Unpaid","Partially Paid"))</f>
        <v>Partially Paid</v>
      </c>
      <c r="M340" s="5" t="s">
        <v>22</v>
      </c>
      <c r="N340"/>
      <c r="O340"/>
      <c r="P340"/>
      <c r="Q340"/>
      <c r="R340"/>
      <c r="S340"/>
      <c r="T340"/>
      <c r="U340"/>
      <c r="V340"/>
      <c r="W340"/>
    </row>
    <row r="341" spans="1:23" ht="15.4">
      <c r="A341" s="5">
        <v>182</v>
      </c>
      <c r="B341" s="5">
        <v>18182</v>
      </c>
      <c r="C341" s="5" t="s">
        <v>167</v>
      </c>
      <c r="D341" s="5" t="s">
        <v>324</v>
      </c>
      <c r="E341" s="5" t="s">
        <v>9</v>
      </c>
      <c r="F341" s="5" t="s">
        <v>1362</v>
      </c>
      <c r="G341" s="8">
        <v>45442</v>
      </c>
      <c r="H341" s="8" t="str">
        <f t="shared" si="5"/>
        <v>May</v>
      </c>
      <c r="I341" s="5">
        <v>3200</v>
      </c>
      <c r="J341" s="5">
        <v>3200</v>
      </c>
      <c r="K341" s="5">
        <f>student_data[[#This Row],[Total Fee]]-student_data[[#This Row],[Deposit Fee]]</f>
        <v>0</v>
      </c>
      <c r="L341" s="5" t="str">
        <f>IF(student_data[[#This Row],[Outstanding Fee]]=0,"Paid",IF(student_data[[#This Row],[Deposit Fee]]=0,"Unpaid","Partially Paid"))</f>
        <v>Paid</v>
      </c>
      <c r="M341" s="5" t="s">
        <v>26</v>
      </c>
      <c r="N341"/>
      <c r="O341"/>
      <c r="P341"/>
      <c r="Q341"/>
      <c r="R341"/>
      <c r="S341"/>
      <c r="T341"/>
      <c r="U341"/>
      <c r="V341"/>
      <c r="W341"/>
    </row>
    <row r="342" spans="1:23" ht="15.4">
      <c r="A342" s="5">
        <v>183</v>
      </c>
      <c r="B342" s="5">
        <v>18183</v>
      </c>
      <c r="C342" s="5" t="s">
        <v>325</v>
      </c>
      <c r="D342" s="5" t="s">
        <v>326</v>
      </c>
      <c r="E342" s="5" t="s">
        <v>9</v>
      </c>
      <c r="F342" s="5" t="s">
        <v>1363</v>
      </c>
      <c r="G342" s="8">
        <v>45443</v>
      </c>
      <c r="H342" s="8" t="str">
        <f t="shared" si="5"/>
        <v>May</v>
      </c>
      <c r="I342" s="5">
        <v>7500</v>
      </c>
      <c r="J342" s="5">
        <v>6900</v>
      </c>
      <c r="K342" s="5">
        <f>student_data[[#This Row],[Total Fee]]-student_data[[#This Row],[Deposit Fee]]</f>
        <v>600</v>
      </c>
      <c r="L342" s="5" t="str">
        <f>IF(student_data[[#This Row],[Outstanding Fee]]=0,"Paid",IF(student_data[[#This Row],[Deposit Fee]]=0,"Unpaid","Partially Paid"))</f>
        <v>Partially Paid</v>
      </c>
      <c r="M342" s="5" t="s">
        <v>29</v>
      </c>
      <c r="N342"/>
      <c r="O342"/>
      <c r="P342"/>
      <c r="Q342"/>
      <c r="R342"/>
      <c r="S342"/>
      <c r="T342"/>
      <c r="U342"/>
      <c r="V342"/>
      <c r="W342"/>
    </row>
    <row r="343" spans="1:23" ht="15.4">
      <c r="A343" s="5">
        <v>184</v>
      </c>
      <c r="B343" s="5">
        <v>18184</v>
      </c>
      <c r="C343" s="5" t="s">
        <v>327</v>
      </c>
      <c r="D343" s="5" t="s">
        <v>328</v>
      </c>
      <c r="E343" s="5" t="s">
        <v>25</v>
      </c>
      <c r="F343" s="5" t="s">
        <v>1363</v>
      </c>
      <c r="G343" s="8">
        <v>45443</v>
      </c>
      <c r="H343" s="8" t="str">
        <f t="shared" si="5"/>
        <v>May</v>
      </c>
      <c r="I343" s="5">
        <v>7500</v>
      </c>
      <c r="J343" s="5">
        <v>6900</v>
      </c>
      <c r="K343" s="5">
        <f>student_data[[#This Row],[Total Fee]]-student_data[[#This Row],[Deposit Fee]]</f>
        <v>600</v>
      </c>
      <c r="L343" s="5" t="str">
        <f>IF(student_data[[#This Row],[Outstanding Fee]]=0,"Paid",IF(student_data[[#This Row],[Deposit Fee]]=0,"Unpaid","Partially Paid"))</f>
        <v>Partially Paid</v>
      </c>
      <c r="M343" s="5" t="s">
        <v>32</v>
      </c>
      <c r="N343"/>
      <c r="O343"/>
      <c r="P343"/>
      <c r="Q343"/>
      <c r="R343"/>
      <c r="S343"/>
      <c r="T343"/>
      <c r="U343"/>
      <c r="V343"/>
      <c r="W343"/>
    </row>
    <row r="344" spans="1:23" ht="15.4">
      <c r="A344" s="5">
        <v>185</v>
      </c>
      <c r="B344" s="5">
        <v>18185</v>
      </c>
      <c r="C344" s="5" t="s">
        <v>329</v>
      </c>
      <c r="D344" s="5" t="s">
        <v>330</v>
      </c>
      <c r="E344" s="5" t="s">
        <v>25</v>
      </c>
      <c r="F344" s="5" t="s">
        <v>1363</v>
      </c>
      <c r="G344" s="8">
        <v>45443</v>
      </c>
      <c r="H344" s="8" t="str">
        <f t="shared" si="5"/>
        <v>May</v>
      </c>
      <c r="I344" s="5">
        <v>7500</v>
      </c>
      <c r="J344" s="5">
        <v>7500</v>
      </c>
      <c r="K344" s="5">
        <f>student_data[[#This Row],[Total Fee]]-student_data[[#This Row],[Deposit Fee]]</f>
        <v>0</v>
      </c>
      <c r="L344" s="5" t="str">
        <f>IF(student_data[[#This Row],[Outstanding Fee]]=0,"Paid",IF(student_data[[#This Row],[Deposit Fee]]=0,"Unpaid","Partially Paid"))</f>
        <v>Paid</v>
      </c>
      <c r="M344" s="5" t="s">
        <v>35</v>
      </c>
      <c r="N344"/>
      <c r="O344"/>
      <c r="P344"/>
      <c r="Q344"/>
      <c r="R344"/>
      <c r="S344"/>
      <c r="T344"/>
      <c r="U344"/>
      <c r="V344"/>
      <c r="W344"/>
    </row>
    <row r="345" spans="1:23" ht="15.4">
      <c r="A345" s="5">
        <v>186</v>
      </c>
      <c r="B345" s="5">
        <v>18186</v>
      </c>
      <c r="C345" s="5" t="s">
        <v>331</v>
      </c>
      <c r="D345" s="5" t="s">
        <v>51</v>
      </c>
      <c r="E345" s="5" t="s">
        <v>9</v>
      </c>
      <c r="F345" s="5" t="s">
        <v>1363</v>
      </c>
      <c r="G345" s="8">
        <v>45444</v>
      </c>
      <c r="H345" s="8" t="str">
        <f t="shared" si="5"/>
        <v>Jun</v>
      </c>
      <c r="I345" s="5">
        <v>7500</v>
      </c>
      <c r="J345" s="5">
        <v>7500</v>
      </c>
      <c r="K345" s="5">
        <f>student_data[[#This Row],[Total Fee]]-student_data[[#This Row],[Deposit Fee]]</f>
        <v>0</v>
      </c>
      <c r="L345" s="5" t="str">
        <f>IF(student_data[[#This Row],[Outstanding Fee]]=0,"Paid",IF(student_data[[#This Row],[Deposit Fee]]=0,"Unpaid","Partially Paid"))</f>
        <v>Paid</v>
      </c>
      <c r="M345" s="5" t="s">
        <v>38</v>
      </c>
      <c r="N345"/>
      <c r="O345"/>
      <c r="P345"/>
      <c r="Q345"/>
      <c r="R345"/>
      <c r="S345"/>
      <c r="T345"/>
      <c r="U345"/>
      <c r="V345"/>
      <c r="W345"/>
    </row>
    <row r="346" spans="1:23" ht="15.4">
      <c r="A346" s="5">
        <v>187</v>
      </c>
      <c r="B346" s="5">
        <v>18187</v>
      </c>
      <c r="C346" s="5" t="s">
        <v>332</v>
      </c>
      <c r="D346" s="5" t="s">
        <v>333</v>
      </c>
      <c r="E346" s="5" t="s">
        <v>9</v>
      </c>
      <c r="F346" s="5" t="s">
        <v>1363</v>
      </c>
      <c r="G346" s="8">
        <v>45444</v>
      </c>
      <c r="H346" s="8" t="str">
        <f t="shared" si="5"/>
        <v>Jun</v>
      </c>
      <c r="I346" s="5">
        <v>7500</v>
      </c>
      <c r="J346" s="5">
        <v>6900</v>
      </c>
      <c r="K346" s="5">
        <f>student_data[[#This Row],[Total Fee]]-student_data[[#This Row],[Deposit Fee]]</f>
        <v>600</v>
      </c>
      <c r="L346" s="5" t="str">
        <f>IF(student_data[[#This Row],[Outstanding Fee]]=0,"Paid",IF(student_data[[#This Row],[Deposit Fee]]=0,"Unpaid","Partially Paid"))</f>
        <v>Partially Paid</v>
      </c>
      <c r="M346" s="5" t="s">
        <v>22</v>
      </c>
      <c r="N346"/>
      <c r="O346"/>
      <c r="P346"/>
      <c r="Q346"/>
      <c r="R346"/>
      <c r="S346"/>
      <c r="T346"/>
      <c r="U346"/>
      <c r="V346"/>
      <c r="W346"/>
    </row>
    <row r="347" spans="1:23" ht="15.4">
      <c r="A347" s="5">
        <v>188</v>
      </c>
      <c r="B347" s="5">
        <v>18188</v>
      </c>
      <c r="C347" s="5" t="s">
        <v>334</v>
      </c>
      <c r="D347" s="5" t="s">
        <v>335</v>
      </c>
      <c r="E347" s="5" t="s">
        <v>25</v>
      </c>
      <c r="F347" s="5" t="s">
        <v>1363</v>
      </c>
      <c r="G347" s="8">
        <v>45444</v>
      </c>
      <c r="H347" s="8" t="str">
        <f t="shared" si="5"/>
        <v>Jun</v>
      </c>
      <c r="I347" s="5">
        <v>7500</v>
      </c>
      <c r="J347" s="5">
        <v>7500</v>
      </c>
      <c r="K347" s="5">
        <f>student_data[[#This Row],[Total Fee]]-student_data[[#This Row],[Deposit Fee]]</f>
        <v>0</v>
      </c>
      <c r="L347" s="5" t="str">
        <f>IF(student_data[[#This Row],[Outstanding Fee]]=0,"Paid",IF(student_data[[#This Row],[Deposit Fee]]=0,"Unpaid","Partially Paid"))</f>
        <v>Paid</v>
      </c>
      <c r="M347" s="5" t="s">
        <v>26</v>
      </c>
      <c r="N347"/>
      <c r="O347"/>
      <c r="P347"/>
      <c r="Q347"/>
      <c r="R347"/>
      <c r="S347"/>
      <c r="T347"/>
      <c r="U347"/>
      <c r="V347"/>
      <c r="W347"/>
    </row>
    <row r="348" spans="1:23" ht="15.4">
      <c r="A348" s="5">
        <v>189</v>
      </c>
      <c r="B348" s="5">
        <v>18189</v>
      </c>
      <c r="C348" s="5" t="s">
        <v>336</v>
      </c>
      <c r="D348" s="5" t="s">
        <v>337</v>
      </c>
      <c r="E348" s="5" t="s">
        <v>9</v>
      </c>
      <c r="F348" s="5" t="s">
        <v>1363</v>
      </c>
      <c r="G348" s="8">
        <v>45446</v>
      </c>
      <c r="H348" s="8" t="str">
        <f t="shared" si="5"/>
        <v>Jun</v>
      </c>
      <c r="I348" s="5">
        <v>7500</v>
      </c>
      <c r="J348" s="5">
        <v>7500</v>
      </c>
      <c r="K348" s="5">
        <f>student_data[[#This Row],[Total Fee]]-student_data[[#This Row],[Deposit Fee]]</f>
        <v>0</v>
      </c>
      <c r="L348" s="5" t="str">
        <f>IF(student_data[[#This Row],[Outstanding Fee]]=0,"Paid",IF(student_data[[#This Row],[Deposit Fee]]=0,"Unpaid","Partially Paid"))</f>
        <v>Paid</v>
      </c>
      <c r="M348" s="5" t="s">
        <v>10</v>
      </c>
      <c r="N348"/>
      <c r="O348"/>
      <c r="P348"/>
      <c r="Q348"/>
      <c r="R348"/>
      <c r="S348"/>
      <c r="T348"/>
      <c r="U348"/>
      <c r="V348"/>
      <c r="W348"/>
    </row>
    <row r="349" spans="1:23" ht="15.4">
      <c r="A349" s="5">
        <v>190</v>
      </c>
      <c r="B349" s="5">
        <v>18190</v>
      </c>
      <c r="C349" s="5" t="s">
        <v>338</v>
      </c>
      <c r="D349" s="5" t="s">
        <v>339</v>
      </c>
      <c r="E349" s="5" t="s">
        <v>9</v>
      </c>
      <c r="F349" s="5" t="s">
        <v>1363</v>
      </c>
      <c r="G349" s="8">
        <v>45446</v>
      </c>
      <c r="H349" s="8" t="str">
        <f t="shared" si="5"/>
        <v>Jun</v>
      </c>
      <c r="I349" s="5">
        <v>7500</v>
      </c>
      <c r="J349" s="5">
        <v>6900</v>
      </c>
      <c r="K349" s="5">
        <f>student_data[[#This Row],[Total Fee]]-student_data[[#This Row],[Deposit Fee]]</f>
        <v>600</v>
      </c>
      <c r="L349" s="5" t="str">
        <f>IF(student_data[[#This Row],[Outstanding Fee]]=0,"Paid",IF(student_data[[#This Row],[Deposit Fee]]=0,"Unpaid","Partially Paid"))</f>
        <v>Partially Paid</v>
      </c>
      <c r="M349" s="5" t="s">
        <v>47</v>
      </c>
      <c r="N349"/>
      <c r="O349"/>
      <c r="P349"/>
      <c r="Q349"/>
      <c r="R349"/>
      <c r="S349"/>
      <c r="T349"/>
      <c r="U349"/>
      <c r="V349"/>
      <c r="W349"/>
    </row>
    <row r="350" spans="1:23" ht="15.4">
      <c r="A350" s="5">
        <v>191</v>
      </c>
      <c r="B350" s="5">
        <v>18191</v>
      </c>
      <c r="C350" s="5" t="s">
        <v>340</v>
      </c>
      <c r="D350" s="5" t="s">
        <v>341</v>
      </c>
      <c r="E350" s="5" t="s">
        <v>9</v>
      </c>
      <c r="F350" s="5" t="s">
        <v>1363</v>
      </c>
      <c r="G350" s="8">
        <v>45446</v>
      </c>
      <c r="H350" s="8" t="str">
        <f t="shared" si="5"/>
        <v>Jun</v>
      </c>
      <c r="I350" s="5">
        <v>7500</v>
      </c>
      <c r="J350" s="5">
        <v>7500</v>
      </c>
      <c r="K350" s="5">
        <f>student_data[[#This Row],[Total Fee]]-student_data[[#This Row],[Deposit Fee]]</f>
        <v>0</v>
      </c>
      <c r="L350" s="5" t="str">
        <f>IF(student_data[[#This Row],[Outstanding Fee]]=0,"Paid",IF(student_data[[#This Row],[Deposit Fee]]=0,"Unpaid","Partially Paid"))</f>
        <v>Paid</v>
      </c>
      <c r="M350" s="5" t="s">
        <v>50</v>
      </c>
      <c r="N350"/>
      <c r="O350"/>
      <c r="P350"/>
      <c r="Q350"/>
      <c r="R350"/>
      <c r="S350"/>
      <c r="T350"/>
      <c r="U350"/>
      <c r="V350"/>
      <c r="W350"/>
    </row>
    <row r="351" spans="1:23" ht="15.4">
      <c r="A351" s="5">
        <v>192</v>
      </c>
      <c r="B351" s="5">
        <v>18192</v>
      </c>
      <c r="C351" s="5" t="s">
        <v>342</v>
      </c>
      <c r="D351" s="5" t="s">
        <v>343</v>
      </c>
      <c r="E351" s="5" t="s">
        <v>25</v>
      </c>
      <c r="F351" s="5" t="s">
        <v>1363</v>
      </c>
      <c r="G351" s="8">
        <v>45447</v>
      </c>
      <c r="H351" s="8" t="str">
        <f t="shared" si="5"/>
        <v>Jun</v>
      </c>
      <c r="I351" s="5">
        <v>7500</v>
      </c>
      <c r="J351" s="5">
        <v>7500</v>
      </c>
      <c r="K351" s="5">
        <f>student_data[[#This Row],[Total Fee]]-student_data[[#This Row],[Deposit Fee]]</f>
        <v>0</v>
      </c>
      <c r="L351" s="5" t="str">
        <f>IF(student_data[[#This Row],[Outstanding Fee]]=0,"Paid",IF(student_data[[#This Row],[Deposit Fee]]=0,"Unpaid","Partially Paid"))</f>
        <v>Paid</v>
      </c>
      <c r="M351" s="5" t="s">
        <v>53</v>
      </c>
      <c r="N351"/>
      <c r="O351"/>
      <c r="P351"/>
      <c r="Q351"/>
      <c r="R351"/>
      <c r="S351"/>
      <c r="T351"/>
      <c r="U351"/>
      <c r="V351"/>
      <c r="W351"/>
    </row>
    <row r="352" spans="1:23" ht="15.4">
      <c r="A352" s="5">
        <v>193</v>
      </c>
      <c r="B352" s="5">
        <v>18193</v>
      </c>
      <c r="C352" s="5" t="s">
        <v>344</v>
      </c>
      <c r="D352" s="5" t="s">
        <v>345</v>
      </c>
      <c r="E352" s="5" t="s">
        <v>25</v>
      </c>
      <c r="F352" s="5" t="s">
        <v>1363</v>
      </c>
      <c r="G352" s="8">
        <v>45447</v>
      </c>
      <c r="H352" s="8" t="str">
        <f t="shared" si="5"/>
        <v>Jun</v>
      </c>
      <c r="I352" s="5">
        <v>7500</v>
      </c>
      <c r="J352" s="5">
        <v>7100</v>
      </c>
      <c r="K352" s="5">
        <f>student_data[[#This Row],[Total Fee]]-student_data[[#This Row],[Deposit Fee]]</f>
        <v>400</v>
      </c>
      <c r="L352" s="5" t="str">
        <f>IF(student_data[[#This Row],[Outstanding Fee]]=0,"Paid",IF(student_data[[#This Row],[Deposit Fee]]=0,"Unpaid","Partially Paid"))</f>
        <v>Partially Paid</v>
      </c>
      <c r="M352" s="5" t="s">
        <v>50</v>
      </c>
      <c r="N352"/>
      <c r="O352"/>
      <c r="P352"/>
      <c r="Q352"/>
      <c r="R352"/>
      <c r="S352"/>
      <c r="T352"/>
      <c r="U352"/>
      <c r="V352"/>
      <c r="W352"/>
    </row>
    <row r="353" spans="1:23" ht="15.4">
      <c r="A353" s="5">
        <v>194</v>
      </c>
      <c r="B353" s="5">
        <v>18194</v>
      </c>
      <c r="C353" s="5" t="s">
        <v>346</v>
      </c>
      <c r="D353" s="5" t="s">
        <v>21</v>
      </c>
      <c r="E353" s="5" t="s">
        <v>25</v>
      </c>
      <c r="F353" s="5" t="s">
        <v>1363</v>
      </c>
      <c r="G353" s="8">
        <v>45447</v>
      </c>
      <c r="H353" s="8" t="str">
        <f t="shared" si="5"/>
        <v>Jun</v>
      </c>
      <c r="I353" s="5">
        <v>7500</v>
      </c>
      <c r="J353" s="5">
        <v>7100</v>
      </c>
      <c r="K353" s="5">
        <f>student_data[[#This Row],[Total Fee]]-student_data[[#This Row],[Deposit Fee]]</f>
        <v>400</v>
      </c>
      <c r="L353" s="5" t="str">
        <f>IF(student_data[[#This Row],[Outstanding Fee]]=0,"Paid",IF(student_data[[#This Row],[Deposit Fee]]=0,"Unpaid","Partially Paid"))</f>
        <v>Partially Paid</v>
      </c>
      <c r="M353" s="5" t="s">
        <v>53</v>
      </c>
      <c r="N353"/>
      <c r="O353"/>
      <c r="P353"/>
      <c r="Q353"/>
      <c r="R353"/>
      <c r="S353"/>
      <c r="T353"/>
      <c r="U353"/>
      <c r="V353"/>
      <c r="W353"/>
    </row>
    <row r="354" spans="1:23" ht="15.4">
      <c r="A354" s="5">
        <v>195</v>
      </c>
      <c r="B354" s="5">
        <v>18195</v>
      </c>
      <c r="C354" s="5" t="s">
        <v>347</v>
      </c>
      <c r="D354" s="5" t="s">
        <v>348</v>
      </c>
      <c r="E354" s="5" t="s">
        <v>9</v>
      </c>
      <c r="F354" s="5" t="s">
        <v>1363</v>
      </c>
      <c r="G354" s="8">
        <v>45448</v>
      </c>
      <c r="H354" s="8" t="str">
        <f t="shared" si="5"/>
        <v>Jun</v>
      </c>
      <c r="I354" s="5">
        <v>7500</v>
      </c>
      <c r="J354" s="5">
        <v>6900</v>
      </c>
      <c r="K354" s="5">
        <f>student_data[[#This Row],[Total Fee]]-student_data[[#This Row],[Deposit Fee]]</f>
        <v>600</v>
      </c>
      <c r="L354" s="5" t="str">
        <f>IF(student_data[[#This Row],[Outstanding Fee]]=0,"Paid",IF(student_data[[#This Row],[Deposit Fee]]=0,"Unpaid","Partially Paid"))</f>
        <v>Partially Paid</v>
      </c>
      <c r="M354" s="5" t="s">
        <v>53</v>
      </c>
      <c r="N354"/>
      <c r="O354"/>
      <c r="P354"/>
      <c r="Q354"/>
      <c r="R354"/>
      <c r="S354"/>
      <c r="T354"/>
      <c r="U354"/>
      <c r="V354"/>
      <c r="W354"/>
    </row>
    <row r="355" spans="1:23" ht="15.4">
      <c r="A355" s="5">
        <v>196</v>
      </c>
      <c r="B355" s="5">
        <v>18196</v>
      </c>
      <c r="C355" s="5" t="s">
        <v>349</v>
      </c>
      <c r="D355" s="5" t="s">
        <v>350</v>
      </c>
      <c r="E355" s="5" t="s">
        <v>9</v>
      </c>
      <c r="F355" s="5" t="s">
        <v>1363</v>
      </c>
      <c r="G355" s="8">
        <v>45448</v>
      </c>
      <c r="H355" s="8" t="str">
        <f t="shared" si="5"/>
        <v>Jun</v>
      </c>
      <c r="I355" s="5">
        <v>7500</v>
      </c>
      <c r="J355" s="5">
        <v>7500</v>
      </c>
      <c r="K355" s="5">
        <f>student_data[[#This Row],[Total Fee]]-student_data[[#This Row],[Deposit Fee]]</f>
        <v>0</v>
      </c>
      <c r="L355" s="5" t="str">
        <f>IF(student_data[[#This Row],[Outstanding Fee]]=0,"Paid",IF(student_data[[#This Row],[Deposit Fee]]=0,"Unpaid","Partially Paid"))</f>
        <v>Paid</v>
      </c>
      <c r="M355" s="5" t="s">
        <v>50</v>
      </c>
      <c r="N355"/>
      <c r="O355"/>
      <c r="P355"/>
      <c r="Q355"/>
      <c r="R355"/>
      <c r="S355"/>
      <c r="T355"/>
      <c r="U355"/>
      <c r="V355"/>
      <c r="W355"/>
    </row>
    <row r="356" spans="1:23" ht="15.4">
      <c r="A356" s="5">
        <v>197</v>
      </c>
      <c r="B356" s="5">
        <v>18197</v>
      </c>
      <c r="C356" s="5" t="s">
        <v>351</v>
      </c>
      <c r="D356" s="5" t="s">
        <v>285</v>
      </c>
      <c r="E356" s="5" t="s">
        <v>9</v>
      </c>
      <c r="F356" s="5" t="s">
        <v>1363</v>
      </c>
      <c r="G356" s="8">
        <v>45448</v>
      </c>
      <c r="H356" s="8" t="str">
        <f t="shared" si="5"/>
        <v>Jun</v>
      </c>
      <c r="I356" s="5">
        <v>7500</v>
      </c>
      <c r="J356" s="5">
        <v>6900</v>
      </c>
      <c r="K356" s="5">
        <f>student_data[[#This Row],[Total Fee]]-student_data[[#This Row],[Deposit Fee]]</f>
        <v>600</v>
      </c>
      <c r="L356" s="5" t="str">
        <f>IF(student_data[[#This Row],[Outstanding Fee]]=0,"Paid",IF(student_data[[#This Row],[Deposit Fee]]=0,"Unpaid","Partially Paid"))</f>
        <v>Partially Paid</v>
      </c>
      <c r="M356" s="5" t="s">
        <v>13</v>
      </c>
      <c r="N356"/>
      <c r="O356"/>
      <c r="P356"/>
      <c r="Q356"/>
      <c r="R356"/>
      <c r="S356"/>
      <c r="T356"/>
      <c r="U356"/>
      <c r="V356"/>
      <c r="W356"/>
    </row>
    <row r="357" spans="1:23" ht="15.4">
      <c r="A357" s="5">
        <v>198</v>
      </c>
      <c r="B357" s="5">
        <v>18198</v>
      </c>
      <c r="C357" s="5" t="s">
        <v>352</v>
      </c>
      <c r="D357" s="5" t="s">
        <v>127</v>
      </c>
      <c r="E357" s="5" t="s">
        <v>25</v>
      </c>
      <c r="F357" s="5" t="s">
        <v>1363</v>
      </c>
      <c r="G357" s="8">
        <v>45449</v>
      </c>
      <c r="H357" s="8" t="str">
        <f t="shared" si="5"/>
        <v>Jun</v>
      </c>
      <c r="I357" s="5">
        <v>7500</v>
      </c>
      <c r="J357" s="5">
        <v>6900</v>
      </c>
      <c r="K357" s="5">
        <f>student_data[[#This Row],[Total Fee]]-student_data[[#This Row],[Deposit Fee]]</f>
        <v>600</v>
      </c>
      <c r="L357" s="5" t="str">
        <f>IF(student_data[[#This Row],[Outstanding Fee]]=0,"Paid",IF(student_data[[#This Row],[Deposit Fee]]=0,"Unpaid","Partially Paid"))</f>
        <v>Partially Paid</v>
      </c>
      <c r="M357" s="5" t="s">
        <v>66</v>
      </c>
      <c r="N357"/>
      <c r="O357"/>
      <c r="P357"/>
      <c r="Q357"/>
      <c r="R357"/>
      <c r="S357"/>
      <c r="T357"/>
      <c r="U357"/>
      <c r="V357"/>
      <c r="W357"/>
    </row>
    <row r="358" spans="1:23" ht="15.4">
      <c r="A358" s="5">
        <v>199</v>
      </c>
      <c r="B358" s="5">
        <v>18199</v>
      </c>
      <c r="C358" s="5" t="s">
        <v>353</v>
      </c>
      <c r="D358" s="5" t="s">
        <v>354</v>
      </c>
      <c r="E358" s="5" t="s">
        <v>9</v>
      </c>
      <c r="F358" s="5" t="s">
        <v>1363</v>
      </c>
      <c r="G358" s="8">
        <v>45449</v>
      </c>
      <c r="H358" s="8" t="str">
        <f t="shared" si="5"/>
        <v>Jun</v>
      </c>
      <c r="I358" s="5">
        <v>7500</v>
      </c>
      <c r="J358" s="5">
        <v>7500</v>
      </c>
      <c r="K358" s="5">
        <f>student_data[[#This Row],[Total Fee]]-student_data[[#This Row],[Deposit Fee]]</f>
        <v>0</v>
      </c>
      <c r="L358" s="5" t="str">
        <f>IF(student_data[[#This Row],[Outstanding Fee]]=0,"Paid",IF(student_data[[#This Row],[Deposit Fee]]=0,"Unpaid","Partially Paid"))</f>
        <v>Paid</v>
      </c>
      <c r="M358" s="5" t="s">
        <v>22</v>
      </c>
      <c r="N358"/>
      <c r="O358"/>
      <c r="P358"/>
      <c r="Q358"/>
      <c r="R358"/>
      <c r="S358"/>
      <c r="T358"/>
      <c r="U358"/>
      <c r="V358"/>
      <c r="W358"/>
    </row>
    <row r="359" spans="1:23" ht="15.4">
      <c r="A359" s="5">
        <v>200</v>
      </c>
      <c r="B359" s="5">
        <v>18200</v>
      </c>
      <c r="C359" s="5" t="s">
        <v>172</v>
      </c>
      <c r="D359" s="5" t="s">
        <v>355</v>
      </c>
      <c r="E359" s="5" t="s">
        <v>9</v>
      </c>
      <c r="F359" s="5" t="s">
        <v>1363</v>
      </c>
      <c r="G359" s="8">
        <v>45449</v>
      </c>
      <c r="H359" s="8" t="str">
        <f t="shared" si="5"/>
        <v>Jun</v>
      </c>
      <c r="I359" s="5">
        <v>7500</v>
      </c>
      <c r="J359" s="5">
        <v>7500</v>
      </c>
      <c r="K359" s="5">
        <f>student_data[[#This Row],[Total Fee]]-student_data[[#This Row],[Deposit Fee]]</f>
        <v>0</v>
      </c>
      <c r="L359" s="5" t="str">
        <f>IF(student_data[[#This Row],[Outstanding Fee]]=0,"Paid",IF(student_data[[#This Row],[Deposit Fee]]=0,"Unpaid","Partially Paid"))</f>
        <v>Paid</v>
      </c>
      <c r="M359" s="5" t="s">
        <v>26</v>
      </c>
      <c r="N359"/>
      <c r="O359"/>
      <c r="P359"/>
      <c r="Q359"/>
      <c r="R359"/>
      <c r="S359"/>
      <c r="T359"/>
      <c r="U359"/>
      <c r="V359"/>
      <c r="W359"/>
    </row>
    <row r="360" spans="1:23" ht="15.4">
      <c r="A360" s="5">
        <v>201</v>
      </c>
      <c r="B360" s="5">
        <v>18201</v>
      </c>
      <c r="C360" s="5" t="s">
        <v>356</v>
      </c>
      <c r="D360" s="5" t="s">
        <v>357</v>
      </c>
      <c r="E360" s="5" t="s">
        <v>25</v>
      </c>
      <c r="F360" s="5" t="s">
        <v>1363</v>
      </c>
      <c r="G360" s="8">
        <v>45450</v>
      </c>
      <c r="H360" s="8" t="str">
        <f t="shared" si="5"/>
        <v>Jun</v>
      </c>
      <c r="I360" s="5">
        <v>7500</v>
      </c>
      <c r="J360" s="5">
        <v>7500</v>
      </c>
      <c r="K360" s="5">
        <f>student_data[[#This Row],[Total Fee]]-student_data[[#This Row],[Deposit Fee]]</f>
        <v>0</v>
      </c>
      <c r="L360" s="5" t="str">
        <f>IF(student_data[[#This Row],[Outstanding Fee]]=0,"Paid",IF(student_data[[#This Row],[Deposit Fee]]=0,"Unpaid","Partially Paid"))</f>
        <v>Paid</v>
      </c>
      <c r="M360" s="5" t="s">
        <v>26</v>
      </c>
      <c r="N360"/>
      <c r="O360"/>
      <c r="P360"/>
      <c r="Q360"/>
      <c r="R360"/>
      <c r="S360"/>
      <c r="T360"/>
      <c r="U360"/>
      <c r="V360"/>
      <c r="W360"/>
    </row>
    <row r="361" spans="1:23" ht="15.4">
      <c r="A361" s="5">
        <v>202</v>
      </c>
      <c r="B361" s="5">
        <v>18202</v>
      </c>
      <c r="C361" s="5" t="s">
        <v>358</v>
      </c>
      <c r="D361" s="5" t="s">
        <v>359</v>
      </c>
      <c r="E361" s="5" t="s">
        <v>9</v>
      </c>
      <c r="F361" s="5" t="s">
        <v>1363</v>
      </c>
      <c r="G361" s="8">
        <v>45450</v>
      </c>
      <c r="H361" s="8" t="str">
        <f t="shared" si="5"/>
        <v>Jun</v>
      </c>
      <c r="I361" s="5">
        <v>7500</v>
      </c>
      <c r="J361" s="5">
        <v>7500</v>
      </c>
      <c r="K361" s="5">
        <f>student_data[[#This Row],[Total Fee]]-student_data[[#This Row],[Deposit Fee]]</f>
        <v>0</v>
      </c>
      <c r="L361" s="5" t="str">
        <f>IF(student_data[[#This Row],[Outstanding Fee]]=0,"Paid",IF(student_data[[#This Row],[Deposit Fee]]=0,"Unpaid","Partially Paid"))</f>
        <v>Paid</v>
      </c>
      <c r="M361" s="5" t="s">
        <v>75</v>
      </c>
      <c r="N361"/>
      <c r="O361"/>
      <c r="P361"/>
      <c r="Q361"/>
      <c r="R361"/>
      <c r="S361"/>
      <c r="T361"/>
      <c r="U361"/>
      <c r="V361"/>
      <c r="W361"/>
    </row>
    <row r="362" spans="1:23" ht="15.4">
      <c r="A362" s="5">
        <v>203</v>
      </c>
      <c r="B362" s="5">
        <v>18203</v>
      </c>
      <c r="C362" s="5" t="s">
        <v>360</v>
      </c>
      <c r="D362" s="5" t="s">
        <v>361</v>
      </c>
      <c r="E362" s="5" t="s">
        <v>25</v>
      </c>
      <c r="F362" s="5" t="s">
        <v>1363</v>
      </c>
      <c r="G362" s="8">
        <v>45450</v>
      </c>
      <c r="H362" s="8" t="str">
        <f t="shared" si="5"/>
        <v>Jun</v>
      </c>
      <c r="I362" s="5">
        <v>7500</v>
      </c>
      <c r="J362" s="5">
        <v>6900</v>
      </c>
      <c r="K362" s="5">
        <f>student_data[[#This Row],[Total Fee]]-student_data[[#This Row],[Deposit Fee]]</f>
        <v>600</v>
      </c>
      <c r="L362" s="5" t="str">
        <f>IF(student_data[[#This Row],[Outstanding Fee]]=0,"Paid",IF(student_data[[#This Row],[Deposit Fee]]=0,"Unpaid","Partially Paid"))</f>
        <v>Partially Paid</v>
      </c>
      <c r="M362" s="5" t="s">
        <v>78</v>
      </c>
      <c r="N362"/>
      <c r="O362"/>
      <c r="P362"/>
      <c r="Q362"/>
      <c r="R362"/>
      <c r="S362"/>
      <c r="T362"/>
      <c r="U362"/>
      <c r="V362"/>
      <c r="W362"/>
    </row>
    <row r="363" spans="1:23" ht="15.4">
      <c r="A363" s="5">
        <v>204</v>
      </c>
      <c r="B363" s="5">
        <v>18204</v>
      </c>
      <c r="C363" s="5" t="s">
        <v>362</v>
      </c>
      <c r="D363" s="5" t="s">
        <v>363</v>
      </c>
      <c r="E363" s="5" t="s">
        <v>9</v>
      </c>
      <c r="F363" s="5" t="s">
        <v>1363</v>
      </c>
      <c r="G363" s="8">
        <v>45451</v>
      </c>
      <c r="H363" s="8" t="str">
        <f t="shared" si="5"/>
        <v>Jun</v>
      </c>
      <c r="I363" s="5">
        <v>7500</v>
      </c>
      <c r="J363" s="5">
        <v>7500</v>
      </c>
      <c r="K363" s="5">
        <f>student_data[[#This Row],[Total Fee]]-student_data[[#This Row],[Deposit Fee]]</f>
        <v>0</v>
      </c>
      <c r="L363" s="5" t="str">
        <f>IF(student_data[[#This Row],[Outstanding Fee]]=0,"Paid",IF(student_data[[#This Row],[Deposit Fee]]=0,"Unpaid","Partially Paid"))</f>
        <v>Paid</v>
      </c>
      <c r="M363" s="5" t="s">
        <v>16</v>
      </c>
      <c r="N363"/>
      <c r="O363"/>
      <c r="P363"/>
      <c r="Q363"/>
      <c r="R363"/>
      <c r="S363"/>
      <c r="T363"/>
      <c r="U363"/>
      <c r="V363"/>
      <c r="W363"/>
    </row>
    <row r="364" spans="1:23" ht="15.4">
      <c r="A364" s="5">
        <v>205</v>
      </c>
      <c r="B364" s="5">
        <v>18205</v>
      </c>
      <c r="C364" s="5" t="s">
        <v>364</v>
      </c>
      <c r="D364" s="5" t="s">
        <v>365</v>
      </c>
      <c r="E364" s="5" t="s">
        <v>9</v>
      </c>
      <c r="F364" s="5" t="s">
        <v>1363</v>
      </c>
      <c r="G364" s="8">
        <v>45451</v>
      </c>
      <c r="H364" s="8" t="str">
        <f t="shared" si="5"/>
        <v>Jun</v>
      </c>
      <c r="I364" s="5">
        <v>7500</v>
      </c>
      <c r="J364" s="5">
        <v>7100</v>
      </c>
      <c r="K364" s="5">
        <f>student_data[[#This Row],[Total Fee]]-student_data[[#This Row],[Deposit Fee]]</f>
        <v>400</v>
      </c>
      <c r="L364" s="5" t="str">
        <f>IF(student_data[[#This Row],[Outstanding Fee]]=0,"Paid",IF(student_data[[#This Row],[Deposit Fee]]=0,"Unpaid","Partially Paid"))</f>
        <v>Partially Paid</v>
      </c>
      <c r="M364" s="5" t="s">
        <v>66</v>
      </c>
      <c r="N364"/>
      <c r="O364"/>
      <c r="P364"/>
      <c r="Q364"/>
      <c r="R364"/>
      <c r="S364"/>
      <c r="T364"/>
      <c r="U364"/>
      <c r="V364"/>
      <c r="W364"/>
    </row>
    <row r="365" spans="1:23" ht="15.4">
      <c r="A365" s="5">
        <v>206</v>
      </c>
      <c r="B365" s="5">
        <v>18206</v>
      </c>
      <c r="C365" s="5" t="s">
        <v>366</v>
      </c>
      <c r="D365" s="5" t="s">
        <v>367</v>
      </c>
      <c r="E365" s="5" t="s">
        <v>9</v>
      </c>
      <c r="F365" s="5" t="s">
        <v>1363</v>
      </c>
      <c r="G365" s="8">
        <v>45451</v>
      </c>
      <c r="H365" s="8" t="str">
        <f t="shared" si="5"/>
        <v>Jun</v>
      </c>
      <c r="I365" s="5">
        <v>7500</v>
      </c>
      <c r="J365" s="5">
        <v>7100</v>
      </c>
      <c r="K365" s="5">
        <f>student_data[[#This Row],[Total Fee]]-student_data[[#This Row],[Deposit Fee]]</f>
        <v>400</v>
      </c>
      <c r="L365" s="5" t="str">
        <f>IF(student_data[[#This Row],[Outstanding Fee]]=0,"Paid",IF(student_data[[#This Row],[Deposit Fee]]=0,"Unpaid","Partially Paid"))</f>
        <v>Partially Paid</v>
      </c>
      <c r="M365" s="5" t="s">
        <v>66</v>
      </c>
      <c r="N365"/>
      <c r="O365"/>
      <c r="P365"/>
      <c r="Q365"/>
      <c r="R365"/>
      <c r="S365"/>
      <c r="T365"/>
      <c r="U365"/>
      <c r="V365"/>
      <c r="W365"/>
    </row>
    <row r="366" spans="1:23" ht="15.4">
      <c r="A366" s="5">
        <v>207</v>
      </c>
      <c r="B366" s="5">
        <v>18207</v>
      </c>
      <c r="C366" s="5" t="s">
        <v>368</v>
      </c>
      <c r="D366" s="5" t="s">
        <v>369</v>
      </c>
      <c r="E366" s="5" t="s">
        <v>25</v>
      </c>
      <c r="F366" s="5" t="s">
        <v>1363</v>
      </c>
      <c r="G366" s="8">
        <v>45453</v>
      </c>
      <c r="H366" s="8" t="str">
        <f t="shared" si="5"/>
        <v>Jun</v>
      </c>
      <c r="I366" s="5">
        <v>7500</v>
      </c>
      <c r="J366" s="5">
        <v>6900</v>
      </c>
      <c r="K366" s="5">
        <f>student_data[[#This Row],[Total Fee]]-student_data[[#This Row],[Deposit Fee]]</f>
        <v>600</v>
      </c>
      <c r="L366" s="5" t="str">
        <f>IF(student_data[[#This Row],[Outstanding Fee]]=0,"Paid",IF(student_data[[#This Row],[Deposit Fee]]=0,"Unpaid","Partially Paid"))</f>
        <v>Partially Paid</v>
      </c>
      <c r="M366" s="5" t="s">
        <v>32</v>
      </c>
      <c r="N366"/>
      <c r="O366"/>
      <c r="P366"/>
      <c r="Q366"/>
      <c r="R366"/>
      <c r="S366"/>
      <c r="T366"/>
      <c r="U366"/>
      <c r="V366"/>
      <c r="W366"/>
    </row>
    <row r="367" spans="1:23" ht="15.4">
      <c r="A367" s="5">
        <v>208</v>
      </c>
      <c r="B367" s="5">
        <v>18208</v>
      </c>
      <c r="C367" s="5" t="s">
        <v>370</v>
      </c>
      <c r="D367" s="5" t="s">
        <v>371</v>
      </c>
      <c r="E367" s="5" t="s">
        <v>25</v>
      </c>
      <c r="F367" s="5" t="s">
        <v>1363</v>
      </c>
      <c r="G367" s="8">
        <v>45453</v>
      </c>
      <c r="H367" s="8" t="str">
        <f t="shared" si="5"/>
        <v>Jun</v>
      </c>
      <c r="I367" s="5">
        <v>7500</v>
      </c>
      <c r="J367" s="5">
        <v>7500</v>
      </c>
      <c r="K367" s="5">
        <f>student_data[[#This Row],[Total Fee]]-student_data[[#This Row],[Deposit Fee]]</f>
        <v>0</v>
      </c>
      <c r="L367" s="5" t="str">
        <f>IF(student_data[[#This Row],[Outstanding Fee]]=0,"Paid",IF(student_data[[#This Row],[Deposit Fee]]=0,"Unpaid","Partially Paid"))</f>
        <v>Paid</v>
      </c>
      <c r="M367" s="5" t="s">
        <v>32</v>
      </c>
      <c r="N367"/>
      <c r="O367"/>
      <c r="P367"/>
      <c r="Q367"/>
      <c r="R367"/>
      <c r="S367"/>
      <c r="T367"/>
      <c r="U367"/>
      <c r="V367"/>
      <c r="W367"/>
    </row>
    <row r="368" spans="1:23" ht="15.4">
      <c r="A368" s="5">
        <v>209</v>
      </c>
      <c r="B368" s="5">
        <v>18209</v>
      </c>
      <c r="C368" s="5" t="s">
        <v>372</v>
      </c>
      <c r="D368" s="5" t="s">
        <v>373</v>
      </c>
      <c r="E368" s="5" t="s">
        <v>9</v>
      </c>
      <c r="F368" s="5" t="s">
        <v>1363</v>
      </c>
      <c r="G368" s="8">
        <v>45453</v>
      </c>
      <c r="H368" s="8" t="str">
        <f t="shared" si="5"/>
        <v>Jun</v>
      </c>
      <c r="I368" s="5">
        <v>7500</v>
      </c>
      <c r="J368" s="5">
        <v>6900</v>
      </c>
      <c r="K368" s="5">
        <f>student_data[[#This Row],[Total Fee]]-student_data[[#This Row],[Deposit Fee]]</f>
        <v>600</v>
      </c>
      <c r="L368" s="5" t="str">
        <f>IF(student_data[[#This Row],[Outstanding Fee]]=0,"Paid",IF(student_data[[#This Row],[Deposit Fee]]=0,"Unpaid","Partially Paid"))</f>
        <v>Partially Paid</v>
      </c>
      <c r="M368" s="5" t="s">
        <v>89</v>
      </c>
      <c r="N368"/>
      <c r="O368"/>
      <c r="P368"/>
      <c r="Q368"/>
      <c r="R368"/>
      <c r="S368"/>
      <c r="T368"/>
      <c r="U368"/>
      <c r="V368"/>
      <c r="W368"/>
    </row>
    <row r="369" spans="1:23" ht="15.4">
      <c r="A369" s="5">
        <v>210</v>
      </c>
      <c r="B369" s="5">
        <v>18210</v>
      </c>
      <c r="C369" s="5" t="s">
        <v>374</v>
      </c>
      <c r="D369" s="5" t="s">
        <v>145</v>
      </c>
      <c r="E369" s="5" t="s">
        <v>9</v>
      </c>
      <c r="F369" s="5" t="s">
        <v>1363</v>
      </c>
      <c r="G369" s="8">
        <v>45454</v>
      </c>
      <c r="H369" s="8" t="str">
        <f t="shared" si="5"/>
        <v>Jun</v>
      </c>
      <c r="I369" s="5">
        <v>7500</v>
      </c>
      <c r="J369" s="5">
        <v>6900</v>
      </c>
      <c r="K369" s="5">
        <f>student_data[[#This Row],[Total Fee]]-student_data[[#This Row],[Deposit Fee]]</f>
        <v>600</v>
      </c>
      <c r="L369" s="5" t="str">
        <f>IF(student_data[[#This Row],[Outstanding Fee]]=0,"Paid",IF(student_data[[#This Row],[Deposit Fee]]=0,"Unpaid","Partially Paid"))</f>
        <v>Partially Paid</v>
      </c>
      <c r="M369" s="5" t="s">
        <v>10</v>
      </c>
      <c r="N369"/>
      <c r="O369"/>
      <c r="P369"/>
      <c r="Q369"/>
      <c r="R369"/>
      <c r="S369"/>
      <c r="T369"/>
      <c r="U369"/>
      <c r="V369"/>
      <c r="W369"/>
    </row>
    <row r="370" spans="1:23" ht="15.4">
      <c r="A370" s="5">
        <v>211</v>
      </c>
      <c r="B370" s="5">
        <v>18211</v>
      </c>
      <c r="C370" s="5" t="s">
        <v>375</v>
      </c>
      <c r="D370" s="5" t="s">
        <v>376</v>
      </c>
      <c r="E370" s="5" t="s">
        <v>25</v>
      </c>
      <c r="F370" s="5" t="s">
        <v>1363</v>
      </c>
      <c r="G370" s="8">
        <v>45454</v>
      </c>
      <c r="H370" s="8" t="str">
        <f t="shared" si="5"/>
        <v>Jun</v>
      </c>
      <c r="I370" s="5">
        <v>7500</v>
      </c>
      <c r="J370" s="5">
        <v>7500</v>
      </c>
      <c r="K370" s="5">
        <f>student_data[[#This Row],[Total Fee]]-student_data[[#This Row],[Deposit Fee]]</f>
        <v>0</v>
      </c>
      <c r="L370" s="5" t="str">
        <f>IF(student_data[[#This Row],[Outstanding Fee]]=0,"Paid",IF(student_data[[#This Row],[Deposit Fee]]=0,"Unpaid","Partially Paid"))</f>
        <v>Paid</v>
      </c>
      <c r="M370" s="5" t="s">
        <v>13</v>
      </c>
      <c r="N370"/>
      <c r="O370"/>
      <c r="P370"/>
      <c r="Q370"/>
      <c r="R370"/>
      <c r="S370"/>
      <c r="T370"/>
      <c r="U370"/>
      <c r="V370"/>
      <c r="W370"/>
    </row>
    <row r="371" spans="1:23" ht="15.4">
      <c r="A371" s="5">
        <v>212</v>
      </c>
      <c r="B371" s="5">
        <v>18212</v>
      </c>
      <c r="C371" s="5" t="s">
        <v>377</v>
      </c>
      <c r="D371" s="5" t="s">
        <v>378</v>
      </c>
      <c r="E371" s="5" t="s">
        <v>9</v>
      </c>
      <c r="F371" s="5" t="s">
        <v>1363</v>
      </c>
      <c r="G371" s="8">
        <v>45454</v>
      </c>
      <c r="H371" s="8" t="str">
        <f t="shared" si="5"/>
        <v>Jun</v>
      </c>
      <c r="I371" s="5">
        <v>7500</v>
      </c>
      <c r="J371" s="5">
        <v>7500</v>
      </c>
      <c r="K371" s="5">
        <f>student_data[[#This Row],[Total Fee]]-student_data[[#This Row],[Deposit Fee]]</f>
        <v>0</v>
      </c>
      <c r="L371" s="5" t="str">
        <f>IF(student_data[[#This Row],[Outstanding Fee]]=0,"Paid",IF(student_data[[#This Row],[Deposit Fee]]=0,"Unpaid","Partially Paid"))</f>
        <v>Paid</v>
      </c>
      <c r="M371" s="5" t="s">
        <v>16</v>
      </c>
      <c r="N371"/>
      <c r="O371"/>
      <c r="P371"/>
      <c r="Q371"/>
      <c r="R371"/>
      <c r="S371"/>
      <c r="T371"/>
      <c r="U371"/>
      <c r="V371"/>
      <c r="W371"/>
    </row>
    <row r="372" spans="1:23" ht="15.4">
      <c r="A372" s="5">
        <v>213</v>
      </c>
      <c r="B372" s="5">
        <v>18213</v>
      </c>
      <c r="C372" s="5" t="s">
        <v>379</v>
      </c>
      <c r="D372" s="5" t="s">
        <v>380</v>
      </c>
      <c r="E372" s="5" t="s">
        <v>9</v>
      </c>
      <c r="F372" s="5" t="s">
        <v>1363</v>
      </c>
      <c r="G372" s="8">
        <v>45455</v>
      </c>
      <c r="H372" s="8" t="str">
        <f t="shared" si="5"/>
        <v>Jun</v>
      </c>
      <c r="I372" s="5">
        <v>7500</v>
      </c>
      <c r="J372" s="5">
        <v>6900</v>
      </c>
      <c r="K372" s="5">
        <f>student_data[[#This Row],[Total Fee]]-student_data[[#This Row],[Deposit Fee]]</f>
        <v>600</v>
      </c>
      <c r="L372" s="5" t="str">
        <f>IF(student_data[[#This Row],[Outstanding Fee]]=0,"Paid",IF(student_data[[#This Row],[Deposit Fee]]=0,"Unpaid","Partially Paid"))</f>
        <v>Partially Paid</v>
      </c>
      <c r="M372" s="5" t="s">
        <v>19</v>
      </c>
      <c r="N372"/>
      <c r="O372"/>
      <c r="P372"/>
      <c r="Q372"/>
      <c r="R372"/>
      <c r="S372"/>
      <c r="T372"/>
      <c r="U372"/>
      <c r="V372"/>
      <c r="W372"/>
    </row>
    <row r="373" spans="1:23" ht="15.4">
      <c r="A373" s="5">
        <v>214</v>
      </c>
      <c r="B373" s="5">
        <v>18214</v>
      </c>
      <c r="C373" s="5" t="s">
        <v>300</v>
      </c>
      <c r="D373" s="5" t="s">
        <v>381</v>
      </c>
      <c r="E373" s="5" t="s">
        <v>9</v>
      </c>
      <c r="F373" s="5" t="s">
        <v>1363</v>
      </c>
      <c r="G373" s="8">
        <v>45455</v>
      </c>
      <c r="H373" s="8" t="str">
        <f t="shared" si="5"/>
        <v>Jun</v>
      </c>
      <c r="I373" s="5">
        <v>7500</v>
      </c>
      <c r="J373" s="5">
        <v>7500</v>
      </c>
      <c r="K373" s="5">
        <f>student_data[[#This Row],[Total Fee]]-student_data[[#This Row],[Deposit Fee]]</f>
        <v>0</v>
      </c>
      <c r="L373" s="5" t="str">
        <f>IF(student_data[[#This Row],[Outstanding Fee]]=0,"Paid",IF(student_data[[#This Row],[Deposit Fee]]=0,"Unpaid","Partially Paid"))</f>
        <v>Paid</v>
      </c>
      <c r="M373" s="5" t="s">
        <v>22</v>
      </c>
      <c r="N373"/>
      <c r="O373"/>
      <c r="P373"/>
      <c r="Q373"/>
      <c r="R373"/>
      <c r="S373"/>
      <c r="T373"/>
      <c r="U373"/>
      <c r="V373"/>
      <c r="W373"/>
    </row>
    <row r="374" spans="1:23" ht="15.4">
      <c r="A374" s="5">
        <v>215</v>
      </c>
      <c r="B374" s="5">
        <v>18215</v>
      </c>
      <c r="C374" s="5" t="s">
        <v>382</v>
      </c>
      <c r="D374" s="5" t="s">
        <v>383</v>
      </c>
      <c r="E374" s="5" t="s">
        <v>9</v>
      </c>
      <c r="F374" s="5" t="s">
        <v>1363</v>
      </c>
      <c r="G374" s="8">
        <v>45455</v>
      </c>
      <c r="H374" s="8" t="str">
        <f t="shared" si="5"/>
        <v>Jun</v>
      </c>
      <c r="I374" s="5">
        <v>7500</v>
      </c>
      <c r="J374" s="5">
        <v>7500</v>
      </c>
      <c r="K374" s="5">
        <f>student_data[[#This Row],[Total Fee]]-student_data[[#This Row],[Deposit Fee]]</f>
        <v>0</v>
      </c>
      <c r="L374" s="5" t="str">
        <f>IF(student_data[[#This Row],[Outstanding Fee]]=0,"Paid",IF(student_data[[#This Row],[Deposit Fee]]=0,"Unpaid","Partially Paid"))</f>
        <v>Paid</v>
      </c>
      <c r="M374" s="5" t="s">
        <v>26</v>
      </c>
      <c r="N374"/>
      <c r="O374"/>
      <c r="P374"/>
      <c r="Q374"/>
      <c r="R374"/>
      <c r="S374"/>
      <c r="T374"/>
      <c r="U374"/>
      <c r="V374"/>
      <c r="W374"/>
    </row>
    <row r="375" spans="1:23" ht="15.4">
      <c r="A375" s="5">
        <v>216</v>
      </c>
      <c r="B375" s="5">
        <v>18216</v>
      </c>
      <c r="C375" s="5" t="s">
        <v>384</v>
      </c>
      <c r="D375" s="5" t="s">
        <v>385</v>
      </c>
      <c r="E375" s="5" t="s">
        <v>25</v>
      </c>
      <c r="F375" s="5" t="s">
        <v>1363</v>
      </c>
      <c r="G375" s="8">
        <v>45456</v>
      </c>
      <c r="H375" s="8" t="str">
        <f t="shared" si="5"/>
        <v>Jun</v>
      </c>
      <c r="I375" s="5">
        <v>7500</v>
      </c>
      <c r="J375" s="5">
        <v>7100</v>
      </c>
      <c r="K375" s="5">
        <f>student_data[[#This Row],[Total Fee]]-student_data[[#This Row],[Deposit Fee]]</f>
        <v>400</v>
      </c>
      <c r="L375" s="5" t="str">
        <f>IF(student_data[[#This Row],[Outstanding Fee]]=0,"Paid",IF(student_data[[#This Row],[Deposit Fee]]=0,"Unpaid","Partially Paid"))</f>
        <v>Partially Paid</v>
      </c>
      <c r="M375" s="5" t="s">
        <v>29</v>
      </c>
      <c r="N375"/>
      <c r="O375"/>
      <c r="P375"/>
      <c r="Q375"/>
      <c r="R375"/>
      <c r="S375"/>
      <c r="T375"/>
      <c r="U375"/>
      <c r="V375"/>
      <c r="W375"/>
    </row>
    <row r="376" spans="1:23" ht="15.4">
      <c r="A376" s="5">
        <v>217</v>
      </c>
      <c r="B376" s="5">
        <v>18217</v>
      </c>
      <c r="C376" s="5" t="s">
        <v>386</v>
      </c>
      <c r="D376" s="5" t="s">
        <v>387</v>
      </c>
      <c r="E376" s="5" t="s">
        <v>25</v>
      </c>
      <c r="F376" s="5" t="s">
        <v>1363</v>
      </c>
      <c r="G376" s="8">
        <v>45456</v>
      </c>
      <c r="H376" s="8" t="str">
        <f t="shared" si="5"/>
        <v>Jun</v>
      </c>
      <c r="I376" s="5">
        <v>7500</v>
      </c>
      <c r="J376" s="5">
        <v>7500</v>
      </c>
      <c r="K376" s="5">
        <f>student_data[[#This Row],[Total Fee]]-student_data[[#This Row],[Deposit Fee]]</f>
        <v>0</v>
      </c>
      <c r="L376" s="5" t="str">
        <f>IF(student_data[[#This Row],[Outstanding Fee]]=0,"Paid",IF(student_data[[#This Row],[Deposit Fee]]=0,"Unpaid","Partially Paid"))</f>
        <v>Paid</v>
      </c>
      <c r="M376" s="5" t="s">
        <v>32</v>
      </c>
      <c r="N376"/>
      <c r="O376"/>
      <c r="P376"/>
      <c r="Q376"/>
      <c r="R376"/>
      <c r="S376"/>
      <c r="T376"/>
      <c r="U376"/>
      <c r="V376"/>
      <c r="W376"/>
    </row>
    <row r="377" spans="1:23" ht="15.4">
      <c r="A377" s="5">
        <v>218</v>
      </c>
      <c r="B377" s="5">
        <v>18218</v>
      </c>
      <c r="C377" s="5" t="s">
        <v>388</v>
      </c>
      <c r="D377" s="5" t="s">
        <v>389</v>
      </c>
      <c r="E377" s="5" t="s">
        <v>25</v>
      </c>
      <c r="F377" s="5" t="s">
        <v>1363</v>
      </c>
      <c r="G377" s="8">
        <v>45456</v>
      </c>
      <c r="H377" s="8" t="str">
        <f t="shared" si="5"/>
        <v>Jun</v>
      </c>
      <c r="I377" s="5">
        <v>7500</v>
      </c>
      <c r="J377" s="5">
        <v>7100</v>
      </c>
      <c r="K377" s="5">
        <f>student_data[[#This Row],[Total Fee]]-student_data[[#This Row],[Deposit Fee]]</f>
        <v>400</v>
      </c>
      <c r="L377" s="5" t="str">
        <f>IF(student_data[[#This Row],[Outstanding Fee]]=0,"Paid",IF(student_data[[#This Row],[Deposit Fee]]=0,"Unpaid","Partially Paid"))</f>
        <v>Partially Paid</v>
      </c>
      <c r="M377" s="5" t="s">
        <v>35</v>
      </c>
      <c r="N377"/>
      <c r="O377"/>
      <c r="P377"/>
      <c r="Q377"/>
      <c r="R377"/>
      <c r="S377"/>
      <c r="T377"/>
      <c r="U377"/>
      <c r="V377"/>
      <c r="W377"/>
    </row>
    <row r="378" spans="1:23" ht="15.4">
      <c r="A378" s="5">
        <v>219</v>
      </c>
      <c r="B378" s="5">
        <v>18219</v>
      </c>
      <c r="C378" s="5" t="s">
        <v>390</v>
      </c>
      <c r="D378" s="5" t="s">
        <v>174</v>
      </c>
      <c r="E378" s="5" t="s">
        <v>9</v>
      </c>
      <c r="F378" s="5" t="s">
        <v>1363</v>
      </c>
      <c r="G378" s="8">
        <v>45457</v>
      </c>
      <c r="H378" s="8" t="str">
        <f t="shared" si="5"/>
        <v>Jun</v>
      </c>
      <c r="I378" s="5">
        <v>7500</v>
      </c>
      <c r="J378" s="5">
        <v>6900</v>
      </c>
      <c r="K378" s="5">
        <f>student_data[[#This Row],[Total Fee]]-student_data[[#This Row],[Deposit Fee]]</f>
        <v>600</v>
      </c>
      <c r="L378" s="5" t="str">
        <f>IF(student_data[[#This Row],[Outstanding Fee]]=0,"Paid",IF(student_data[[#This Row],[Deposit Fee]]=0,"Unpaid","Partially Paid"))</f>
        <v>Partially Paid</v>
      </c>
      <c r="M378" s="5" t="s">
        <v>38</v>
      </c>
      <c r="N378"/>
      <c r="O378"/>
      <c r="P378"/>
      <c r="Q378"/>
      <c r="R378"/>
      <c r="S378"/>
      <c r="T378"/>
      <c r="U378"/>
      <c r="V378"/>
      <c r="W378"/>
    </row>
    <row r="379" spans="1:23" ht="15.4">
      <c r="A379" s="5">
        <v>220</v>
      </c>
      <c r="B379" s="5">
        <v>18220</v>
      </c>
      <c r="C379" s="5" t="s">
        <v>391</v>
      </c>
      <c r="D379" s="5" t="s">
        <v>392</v>
      </c>
      <c r="E379" s="5" t="s">
        <v>9</v>
      </c>
      <c r="F379" s="5" t="s">
        <v>1363</v>
      </c>
      <c r="G379" s="8">
        <v>45457</v>
      </c>
      <c r="H379" s="8" t="str">
        <f t="shared" si="5"/>
        <v>Jun</v>
      </c>
      <c r="I379" s="5">
        <v>7500</v>
      </c>
      <c r="J379" s="5">
        <v>6900</v>
      </c>
      <c r="K379" s="5">
        <f>student_data[[#This Row],[Total Fee]]-student_data[[#This Row],[Deposit Fee]]</f>
        <v>600</v>
      </c>
      <c r="L379" s="5" t="str">
        <f>IF(student_data[[#This Row],[Outstanding Fee]]=0,"Paid",IF(student_data[[#This Row],[Deposit Fee]]=0,"Unpaid","Partially Paid"))</f>
        <v>Partially Paid</v>
      </c>
      <c r="M379" s="5" t="s">
        <v>22</v>
      </c>
      <c r="N379"/>
      <c r="O379"/>
      <c r="P379"/>
      <c r="Q379"/>
      <c r="R379"/>
      <c r="S379"/>
      <c r="T379"/>
      <c r="U379"/>
      <c r="V379"/>
      <c r="W379"/>
    </row>
    <row r="380" spans="1:23" ht="15.4">
      <c r="A380" s="5">
        <v>221</v>
      </c>
      <c r="B380" s="5">
        <v>18221</v>
      </c>
      <c r="C380" s="5" t="s">
        <v>393</v>
      </c>
      <c r="D380" s="5" t="s">
        <v>394</v>
      </c>
      <c r="E380" s="5" t="s">
        <v>9</v>
      </c>
      <c r="F380" s="5" t="s">
        <v>1363</v>
      </c>
      <c r="G380" s="8">
        <v>45457</v>
      </c>
      <c r="H380" s="8" t="str">
        <f t="shared" si="5"/>
        <v>Jun</v>
      </c>
      <c r="I380" s="5">
        <v>7500</v>
      </c>
      <c r="J380" s="5">
        <v>7500</v>
      </c>
      <c r="K380" s="5">
        <f>student_data[[#This Row],[Total Fee]]-student_data[[#This Row],[Deposit Fee]]</f>
        <v>0</v>
      </c>
      <c r="L380" s="5" t="str">
        <f>IF(student_data[[#This Row],[Outstanding Fee]]=0,"Paid",IF(student_data[[#This Row],[Deposit Fee]]=0,"Unpaid","Partially Paid"))</f>
        <v>Paid</v>
      </c>
      <c r="M380" s="5" t="s">
        <v>26</v>
      </c>
      <c r="N380"/>
      <c r="O380"/>
      <c r="P380"/>
      <c r="Q380"/>
      <c r="R380"/>
      <c r="S380"/>
      <c r="T380"/>
      <c r="U380"/>
      <c r="V380"/>
      <c r="W380"/>
    </row>
    <row r="381" spans="1:23" ht="15.4">
      <c r="A381" s="5">
        <v>222</v>
      </c>
      <c r="B381" s="5">
        <v>18222</v>
      </c>
      <c r="C381" s="5" t="s">
        <v>395</v>
      </c>
      <c r="D381" s="5" t="s">
        <v>396</v>
      </c>
      <c r="E381" s="5" t="s">
        <v>25</v>
      </c>
      <c r="F381" s="5" t="s">
        <v>1363</v>
      </c>
      <c r="G381" s="8">
        <v>45458</v>
      </c>
      <c r="H381" s="8" t="str">
        <f t="shared" si="5"/>
        <v>Jun</v>
      </c>
      <c r="I381" s="5">
        <v>7500</v>
      </c>
      <c r="J381" s="5">
        <v>6900</v>
      </c>
      <c r="K381" s="5">
        <f>student_data[[#This Row],[Total Fee]]-student_data[[#This Row],[Deposit Fee]]</f>
        <v>600</v>
      </c>
      <c r="L381" s="5" t="str">
        <f>IF(student_data[[#This Row],[Outstanding Fee]]=0,"Paid",IF(student_data[[#This Row],[Deposit Fee]]=0,"Unpaid","Partially Paid"))</f>
        <v>Partially Paid</v>
      </c>
      <c r="M381" s="5" t="s">
        <v>10</v>
      </c>
      <c r="N381"/>
      <c r="O381"/>
      <c r="P381"/>
      <c r="Q381"/>
      <c r="R381"/>
      <c r="S381"/>
      <c r="T381"/>
      <c r="U381"/>
      <c r="V381"/>
      <c r="W381"/>
    </row>
    <row r="382" spans="1:23" ht="15.4">
      <c r="A382" s="5">
        <v>223</v>
      </c>
      <c r="B382" s="5">
        <v>18223</v>
      </c>
      <c r="C382" s="5" t="s">
        <v>397</v>
      </c>
      <c r="D382" s="5" t="s">
        <v>398</v>
      </c>
      <c r="E382" s="5" t="s">
        <v>9</v>
      </c>
      <c r="F382" s="5" t="s">
        <v>1363</v>
      </c>
      <c r="G382" s="8">
        <v>45458</v>
      </c>
      <c r="H382" s="8" t="str">
        <f t="shared" si="5"/>
        <v>Jun</v>
      </c>
      <c r="I382" s="5">
        <v>7500</v>
      </c>
      <c r="J382" s="5">
        <v>7500</v>
      </c>
      <c r="K382" s="5">
        <f>student_data[[#This Row],[Total Fee]]-student_data[[#This Row],[Deposit Fee]]</f>
        <v>0</v>
      </c>
      <c r="L382" s="5" t="str">
        <f>IF(student_data[[#This Row],[Outstanding Fee]]=0,"Paid",IF(student_data[[#This Row],[Deposit Fee]]=0,"Unpaid","Partially Paid"))</f>
        <v>Paid</v>
      </c>
      <c r="M382" s="5" t="s">
        <v>47</v>
      </c>
      <c r="N382"/>
      <c r="O382"/>
      <c r="P382"/>
      <c r="Q382"/>
      <c r="R382"/>
      <c r="S382"/>
      <c r="T382"/>
      <c r="U382"/>
      <c r="V382"/>
      <c r="W382"/>
    </row>
    <row r="383" spans="1:23" ht="15.4">
      <c r="A383" s="5">
        <v>224</v>
      </c>
      <c r="B383" s="5">
        <v>18224</v>
      </c>
      <c r="C383" s="5" t="s">
        <v>399</v>
      </c>
      <c r="D383" s="5" t="s">
        <v>400</v>
      </c>
      <c r="E383" s="5" t="s">
        <v>9</v>
      </c>
      <c r="F383" s="5" t="s">
        <v>1363</v>
      </c>
      <c r="G383" s="8">
        <v>45458</v>
      </c>
      <c r="H383" s="8" t="str">
        <f t="shared" si="5"/>
        <v>Jun</v>
      </c>
      <c r="I383" s="5">
        <v>7500</v>
      </c>
      <c r="J383" s="5">
        <v>7500</v>
      </c>
      <c r="K383" s="5">
        <f>student_data[[#This Row],[Total Fee]]-student_data[[#This Row],[Deposit Fee]]</f>
        <v>0</v>
      </c>
      <c r="L383" s="5" t="str">
        <f>IF(student_data[[#This Row],[Outstanding Fee]]=0,"Paid",IF(student_data[[#This Row],[Deposit Fee]]=0,"Unpaid","Partially Paid"))</f>
        <v>Paid</v>
      </c>
      <c r="M383" s="5" t="s">
        <v>50</v>
      </c>
      <c r="N383"/>
      <c r="O383"/>
      <c r="P383"/>
      <c r="Q383"/>
      <c r="R383"/>
      <c r="S383"/>
      <c r="T383"/>
      <c r="U383"/>
      <c r="V383"/>
      <c r="W383"/>
    </row>
    <row r="384" spans="1:23" ht="15.4">
      <c r="A384" s="5">
        <v>225</v>
      </c>
      <c r="B384" s="5">
        <v>18225</v>
      </c>
      <c r="C384" s="5" t="s">
        <v>401</v>
      </c>
      <c r="D384" s="5" t="s">
        <v>273</v>
      </c>
      <c r="E384" s="5" t="s">
        <v>9</v>
      </c>
      <c r="F384" s="5" t="s">
        <v>1363</v>
      </c>
      <c r="G384" s="8">
        <v>45460</v>
      </c>
      <c r="H384" s="8" t="str">
        <f t="shared" si="5"/>
        <v>Jun</v>
      </c>
      <c r="I384" s="5">
        <v>7500</v>
      </c>
      <c r="J384" s="5">
        <v>7500</v>
      </c>
      <c r="K384" s="5">
        <f>student_data[[#This Row],[Total Fee]]-student_data[[#This Row],[Deposit Fee]]</f>
        <v>0</v>
      </c>
      <c r="L384" s="5" t="str">
        <f>IF(student_data[[#This Row],[Outstanding Fee]]=0,"Paid",IF(student_data[[#This Row],[Deposit Fee]]=0,"Unpaid","Partially Paid"))</f>
        <v>Paid</v>
      </c>
      <c r="M384" s="5" t="s">
        <v>53</v>
      </c>
      <c r="N384"/>
      <c r="O384"/>
      <c r="P384"/>
      <c r="Q384"/>
      <c r="R384"/>
      <c r="S384"/>
      <c r="T384"/>
      <c r="U384"/>
      <c r="V384"/>
      <c r="W384"/>
    </row>
    <row r="385" spans="1:23" ht="15.4">
      <c r="A385" s="5">
        <v>226</v>
      </c>
      <c r="B385" s="5">
        <v>18226</v>
      </c>
      <c r="C385" s="5" t="s">
        <v>402</v>
      </c>
      <c r="D385" s="5" t="s">
        <v>403</v>
      </c>
      <c r="E385" s="5" t="s">
        <v>25</v>
      </c>
      <c r="F385" s="5" t="s">
        <v>1363</v>
      </c>
      <c r="G385" s="8">
        <v>45460</v>
      </c>
      <c r="H385" s="8" t="str">
        <f t="shared" si="5"/>
        <v>Jun</v>
      </c>
      <c r="I385" s="5">
        <v>7500</v>
      </c>
      <c r="J385" s="5">
        <v>7500</v>
      </c>
      <c r="K385" s="5">
        <f>student_data[[#This Row],[Total Fee]]-student_data[[#This Row],[Deposit Fee]]</f>
        <v>0</v>
      </c>
      <c r="L385" s="5" t="str">
        <f>IF(student_data[[#This Row],[Outstanding Fee]]=0,"Paid",IF(student_data[[#This Row],[Deposit Fee]]=0,"Unpaid","Partially Paid"))</f>
        <v>Paid</v>
      </c>
      <c r="M385" s="5" t="s">
        <v>50</v>
      </c>
      <c r="N385"/>
      <c r="O385"/>
      <c r="P385"/>
      <c r="Q385"/>
      <c r="R385"/>
      <c r="S385"/>
      <c r="T385"/>
      <c r="U385"/>
      <c r="V385"/>
      <c r="W385"/>
    </row>
    <row r="386" spans="1:23" ht="15.4">
      <c r="A386" s="5">
        <v>227</v>
      </c>
      <c r="B386" s="5">
        <v>18227</v>
      </c>
      <c r="C386" s="5" t="s">
        <v>404</v>
      </c>
      <c r="D386" s="5" t="s">
        <v>405</v>
      </c>
      <c r="E386" s="5" t="s">
        <v>25</v>
      </c>
      <c r="F386" s="5" t="s">
        <v>1363</v>
      </c>
      <c r="G386" s="8">
        <v>45460</v>
      </c>
      <c r="H386" s="8" t="str">
        <f t="shared" ref="H386:H449" si="6">TEXT(G386,"mmm")</f>
        <v>Jun</v>
      </c>
      <c r="I386" s="5">
        <v>7500</v>
      </c>
      <c r="J386" s="5">
        <v>6900</v>
      </c>
      <c r="K386" s="5">
        <f>student_data[[#This Row],[Total Fee]]-student_data[[#This Row],[Deposit Fee]]</f>
        <v>600</v>
      </c>
      <c r="L386" s="5" t="str">
        <f>IF(student_data[[#This Row],[Outstanding Fee]]=0,"Paid",IF(student_data[[#This Row],[Deposit Fee]]=0,"Unpaid","Partially Paid"))</f>
        <v>Partially Paid</v>
      </c>
      <c r="M386" s="5" t="s">
        <v>53</v>
      </c>
      <c r="N386"/>
      <c r="O386"/>
      <c r="P386"/>
      <c r="Q386"/>
      <c r="R386"/>
      <c r="S386"/>
      <c r="T386"/>
      <c r="U386"/>
      <c r="V386"/>
      <c r="W386"/>
    </row>
    <row r="387" spans="1:23" ht="15.4">
      <c r="A387" s="5">
        <v>228</v>
      </c>
      <c r="B387" s="5">
        <v>18228</v>
      </c>
      <c r="C387" s="5" t="s">
        <v>406</v>
      </c>
      <c r="D387" s="5" t="s">
        <v>407</v>
      </c>
      <c r="E387" s="5" t="s">
        <v>9</v>
      </c>
      <c r="F387" s="5" t="s">
        <v>1363</v>
      </c>
      <c r="G387" s="8">
        <v>45461</v>
      </c>
      <c r="H387" s="8" t="str">
        <f t="shared" si="6"/>
        <v>Jun</v>
      </c>
      <c r="I387" s="5">
        <v>7500</v>
      </c>
      <c r="J387" s="5">
        <v>7100</v>
      </c>
      <c r="K387" s="5">
        <f>student_data[[#This Row],[Total Fee]]-student_data[[#This Row],[Deposit Fee]]</f>
        <v>400</v>
      </c>
      <c r="L387" s="5" t="str">
        <f>IF(student_data[[#This Row],[Outstanding Fee]]=0,"Paid",IF(student_data[[#This Row],[Deposit Fee]]=0,"Unpaid","Partially Paid"))</f>
        <v>Partially Paid</v>
      </c>
      <c r="M387" s="5" t="s">
        <v>53</v>
      </c>
      <c r="N387"/>
      <c r="O387"/>
      <c r="P387"/>
      <c r="Q387"/>
      <c r="R387"/>
      <c r="S387"/>
      <c r="T387"/>
      <c r="U387"/>
      <c r="V387"/>
      <c r="W387"/>
    </row>
    <row r="388" spans="1:23" ht="15.4">
      <c r="A388" s="5">
        <v>229</v>
      </c>
      <c r="B388" s="5">
        <v>18229</v>
      </c>
      <c r="C388" s="5" t="s">
        <v>408</v>
      </c>
      <c r="D388" s="5" t="s">
        <v>149</v>
      </c>
      <c r="E388" s="5" t="s">
        <v>9</v>
      </c>
      <c r="F388" s="5" t="s">
        <v>1363</v>
      </c>
      <c r="G388" s="8">
        <v>45461</v>
      </c>
      <c r="H388" s="8" t="str">
        <f t="shared" si="6"/>
        <v>Jun</v>
      </c>
      <c r="I388" s="5">
        <v>7500</v>
      </c>
      <c r="J388" s="5">
        <v>7100</v>
      </c>
      <c r="K388" s="5">
        <f>student_data[[#This Row],[Total Fee]]-student_data[[#This Row],[Deposit Fee]]</f>
        <v>400</v>
      </c>
      <c r="L388" s="5" t="str">
        <f>IF(student_data[[#This Row],[Outstanding Fee]]=0,"Paid",IF(student_data[[#This Row],[Deposit Fee]]=0,"Unpaid","Partially Paid"))</f>
        <v>Partially Paid</v>
      </c>
      <c r="M388" s="5" t="s">
        <v>50</v>
      </c>
      <c r="N388"/>
      <c r="O388"/>
      <c r="P388"/>
      <c r="Q388"/>
      <c r="R388"/>
      <c r="S388"/>
      <c r="T388"/>
      <c r="U388"/>
      <c r="V388"/>
      <c r="W388"/>
    </row>
    <row r="389" spans="1:23" ht="15.4">
      <c r="A389" s="5">
        <v>230</v>
      </c>
      <c r="B389" s="5">
        <v>18230</v>
      </c>
      <c r="C389" s="5" t="s">
        <v>409</v>
      </c>
      <c r="D389" s="5" t="s">
        <v>410</v>
      </c>
      <c r="E389" s="5" t="s">
        <v>9</v>
      </c>
      <c r="F389" s="5" t="s">
        <v>1363</v>
      </c>
      <c r="G389" s="8">
        <v>45461</v>
      </c>
      <c r="H389" s="8" t="str">
        <f t="shared" si="6"/>
        <v>Jun</v>
      </c>
      <c r="I389" s="5">
        <v>7500</v>
      </c>
      <c r="J389" s="5">
        <v>7500</v>
      </c>
      <c r="K389" s="5">
        <f>student_data[[#This Row],[Total Fee]]-student_data[[#This Row],[Deposit Fee]]</f>
        <v>0</v>
      </c>
      <c r="L389" s="5" t="str">
        <f>IF(student_data[[#This Row],[Outstanding Fee]]=0,"Paid",IF(student_data[[#This Row],[Deposit Fee]]=0,"Unpaid","Partially Paid"))</f>
        <v>Paid</v>
      </c>
      <c r="M389" s="5" t="s">
        <v>13</v>
      </c>
      <c r="N389"/>
      <c r="O389"/>
      <c r="P389"/>
      <c r="Q389"/>
      <c r="R389"/>
      <c r="S389"/>
      <c r="T389"/>
      <c r="U389"/>
      <c r="V389"/>
      <c r="W389"/>
    </row>
    <row r="390" spans="1:23" ht="15.4">
      <c r="A390" s="5">
        <v>231</v>
      </c>
      <c r="B390" s="5">
        <v>18231</v>
      </c>
      <c r="C390" s="5" t="s">
        <v>411</v>
      </c>
      <c r="D390" s="5" t="s">
        <v>412</v>
      </c>
      <c r="E390" s="5" t="s">
        <v>25</v>
      </c>
      <c r="F390" s="5" t="s">
        <v>1363</v>
      </c>
      <c r="G390" s="8">
        <v>45462</v>
      </c>
      <c r="H390" s="8" t="str">
        <f t="shared" si="6"/>
        <v>Jun</v>
      </c>
      <c r="I390" s="5">
        <v>7500</v>
      </c>
      <c r="J390" s="5">
        <v>7500</v>
      </c>
      <c r="K390" s="5">
        <f>student_data[[#This Row],[Total Fee]]-student_data[[#This Row],[Deposit Fee]]</f>
        <v>0</v>
      </c>
      <c r="L390" s="5" t="str">
        <f>IF(student_data[[#This Row],[Outstanding Fee]]=0,"Paid",IF(student_data[[#This Row],[Deposit Fee]]=0,"Unpaid","Partially Paid"))</f>
        <v>Paid</v>
      </c>
      <c r="M390" s="5" t="s">
        <v>66</v>
      </c>
      <c r="N390"/>
      <c r="O390"/>
      <c r="P390"/>
      <c r="Q390"/>
      <c r="R390"/>
      <c r="S390"/>
      <c r="T390"/>
      <c r="U390"/>
      <c r="V390"/>
      <c r="W390"/>
    </row>
    <row r="391" spans="1:23" ht="15.4">
      <c r="A391" s="5">
        <v>232</v>
      </c>
      <c r="B391" s="5">
        <v>18232</v>
      </c>
      <c r="C391" s="5" t="s">
        <v>36</v>
      </c>
      <c r="D391" s="5" t="s">
        <v>413</v>
      </c>
      <c r="E391" s="5" t="s">
        <v>25</v>
      </c>
      <c r="F391" s="5" t="s">
        <v>1363</v>
      </c>
      <c r="G391" s="8">
        <v>45462</v>
      </c>
      <c r="H391" s="8" t="str">
        <f t="shared" si="6"/>
        <v>Jun</v>
      </c>
      <c r="I391" s="5">
        <v>7500</v>
      </c>
      <c r="J391" s="5">
        <v>6900</v>
      </c>
      <c r="K391" s="5">
        <f>student_data[[#This Row],[Total Fee]]-student_data[[#This Row],[Deposit Fee]]</f>
        <v>600</v>
      </c>
      <c r="L391" s="5" t="str">
        <f>IF(student_data[[#This Row],[Outstanding Fee]]=0,"Paid",IF(student_data[[#This Row],[Deposit Fee]]=0,"Unpaid","Partially Paid"))</f>
        <v>Partially Paid</v>
      </c>
      <c r="M391" s="5" t="s">
        <v>22</v>
      </c>
      <c r="N391"/>
      <c r="O391"/>
      <c r="P391"/>
      <c r="Q391"/>
      <c r="R391"/>
      <c r="S391"/>
      <c r="T391"/>
      <c r="U391"/>
      <c r="V391"/>
      <c r="W391"/>
    </row>
    <row r="392" spans="1:23" ht="15.4">
      <c r="A392" s="5">
        <v>233</v>
      </c>
      <c r="B392" s="5">
        <v>18233</v>
      </c>
      <c r="C392" s="5" t="s">
        <v>414</v>
      </c>
      <c r="D392" s="5" t="s">
        <v>415</v>
      </c>
      <c r="E392" s="5" t="s">
        <v>9</v>
      </c>
      <c r="F392" s="5" t="s">
        <v>1363</v>
      </c>
      <c r="G392" s="8">
        <v>45462</v>
      </c>
      <c r="H392" s="8" t="str">
        <f t="shared" si="6"/>
        <v>Jun</v>
      </c>
      <c r="I392" s="5">
        <v>7500</v>
      </c>
      <c r="J392" s="5">
        <v>6900</v>
      </c>
      <c r="K392" s="5">
        <f>student_data[[#This Row],[Total Fee]]-student_data[[#This Row],[Deposit Fee]]</f>
        <v>600</v>
      </c>
      <c r="L392" s="5" t="str">
        <f>IF(student_data[[#This Row],[Outstanding Fee]]=0,"Paid",IF(student_data[[#This Row],[Deposit Fee]]=0,"Unpaid","Partially Paid"))</f>
        <v>Partially Paid</v>
      </c>
      <c r="M392" s="5" t="s">
        <v>26</v>
      </c>
      <c r="N392"/>
      <c r="O392"/>
      <c r="P392"/>
      <c r="Q392"/>
      <c r="R392"/>
      <c r="S392"/>
      <c r="T392"/>
      <c r="U392"/>
      <c r="V392"/>
      <c r="W392"/>
    </row>
    <row r="393" spans="1:23" ht="15.4">
      <c r="A393" s="5">
        <v>234</v>
      </c>
      <c r="B393" s="5">
        <v>18234</v>
      </c>
      <c r="C393" s="5" t="s">
        <v>416</v>
      </c>
      <c r="D393" s="5" t="s">
        <v>417</v>
      </c>
      <c r="E393" s="5" t="s">
        <v>25</v>
      </c>
      <c r="F393" s="5" t="s">
        <v>1363</v>
      </c>
      <c r="G393" s="8">
        <v>45463</v>
      </c>
      <c r="H393" s="8" t="str">
        <f t="shared" si="6"/>
        <v>Jun</v>
      </c>
      <c r="I393" s="5">
        <v>7500</v>
      </c>
      <c r="J393" s="5">
        <v>7500</v>
      </c>
      <c r="K393" s="5">
        <f>student_data[[#This Row],[Total Fee]]-student_data[[#This Row],[Deposit Fee]]</f>
        <v>0</v>
      </c>
      <c r="L393" s="5" t="str">
        <f>IF(student_data[[#This Row],[Outstanding Fee]]=0,"Paid",IF(student_data[[#This Row],[Deposit Fee]]=0,"Unpaid","Partially Paid"))</f>
        <v>Paid</v>
      </c>
      <c r="M393" s="5" t="s">
        <v>26</v>
      </c>
      <c r="N393"/>
      <c r="O393"/>
      <c r="P393"/>
      <c r="Q393"/>
      <c r="R393"/>
      <c r="S393"/>
      <c r="T393"/>
      <c r="U393"/>
      <c r="V393"/>
      <c r="W393"/>
    </row>
    <row r="394" spans="1:23" ht="15.4">
      <c r="A394" s="5">
        <v>235</v>
      </c>
      <c r="B394" s="5">
        <v>18235</v>
      </c>
      <c r="C394" s="5" t="s">
        <v>418</v>
      </c>
      <c r="D394" s="5" t="s">
        <v>419</v>
      </c>
      <c r="E394" s="5" t="s">
        <v>9</v>
      </c>
      <c r="F394" s="5" t="s">
        <v>1363</v>
      </c>
      <c r="G394" s="8">
        <v>45463</v>
      </c>
      <c r="H394" s="8" t="str">
        <f t="shared" si="6"/>
        <v>Jun</v>
      </c>
      <c r="I394" s="5">
        <v>7500</v>
      </c>
      <c r="J394" s="5">
        <v>6900</v>
      </c>
      <c r="K394" s="5">
        <f>student_data[[#This Row],[Total Fee]]-student_data[[#This Row],[Deposit Fee]]</f>
        <v>600</v>
      </c>
      <c r="L394" s="5" t="str">
        <f>IF(student_data[[#This Row],[Outstanding Fee]]=0,"Paid",IF(student_data[[#This Row],[Deposit Fee]]=0,"Unpaid","Partially Paid"))</f>
        <v>Partially Paid</v>
      </c>
      <c r="M394" s="5" t="s">
        <v>75</v>
      </c>
      <c r="N394"/>
      <c r="O394"/>
      <c r="P394"/>
      <c r="Q394"/>
      <c r="R394"/>
      <c r="S394"/>
      <c r="T394"/>
      <c r="U394"/>
      <c r="V394"/>
      <c r="W394"/>
    </row>
    <row r="395" spans="1:23" ht="15.4">
      <c r="A395" s="5">
        <v>236</v>
      </c>
      <c r="B395" s="5">
        <v>18236</v>
      </c>
      <c r="C395" s="5" t="s">
        <v>420</v>
      </c>
      <c r="D395" s="5" t="s">
        <v>147</v>
      </c>
      <c r="E395" s="5" t="s">
        <v>9</v>
      </c>
      <c r="F395" s="5" t="s">
        <v>1363</v>
      </c>
      <c r="G395" s="8">
        <v>45463</v>
      </c>
      <c r="H395" s="8" t="str">
        <f t="shared" si="6"/>
        <v>Jun</v>
      </c>
      <c r="I395" s="5">
        <v>7500</v>
      </c>
      <c r="J395" s="5">
        <v>7500</v>
      </c>
      <c r="K395" s="5">
        <f>student_data[[#This Row],[Total Fee]]-student_data[[#This Row],[Deposit Fee]]</f>
        <v>0</v>
      </c>
      <c r="L395" s="5" t="str">
        <f>IF(student_data[[#This Row],[Outstanding Fee]]=0,"Paid",IF(student_data[[#This Row],[Deposit Fee]]=0,"Unpaid","Partially Paid"))</f>
        <v>Paid</v>
      </c>
      <c r="M395" s="5" t="s">
        <v>78</v>
      </c>
      <c r="N395"/>
      <c r="O395"/>
      <c r="P395"/>
      <c r="Q395"/>
      <c r="R395"/>
      <c r="S395"/>
      <c r="T395"/>
      <c r="U395"/>
      <c r="V395"/>
      <c r="W395"/>
    </row>
    <row r="396" spans="1:23" ht="15.4">
      <c r="A396" s="5">
        <v>237</v>
      </c>
      <c r="B396" s="5">
        <v>18237</v>
      </c>
      <c r="C396" s="5" t="s">
        <v>421</v>
      </c>
      <c r="D396" s="5" t="s">
        <v>422</v>
      </c>
      <c r="E396" s="5" t="s">
        <v>9</v>
      </c>
      <c r="F396" s="5" t="s">
        <v>1363</v>
      </c>
      <c r="G396" s="8">
        <v>45464</v>
      </c>
      <c r="H396" s="8" t="str">
        <f t="shared" si="6"/>
        <v>Jun</v>
      </c>
      <c r="I396" s="5">
        <v>7500</v>
      </c>
      <c r="J396" s="5">
        <v>7500</v>
      </c>
      <c r="K396" s="5">
        <f>student_data[[#This Row],[Total Fee]]-student_data[[#This Row],[Deposit Fee]]</f>
        <v>0</v>
      </c>
      <c r="L396" s="5" t="str">
        <f>IF(student_data[[#This Row],[Outstanding Fee]]=0,"Paid",IF(student_data[[#This Row],[Deposit Fee]]=0,"Unpaid","Partially Paid"))</f>
        <v>Paid</v>
      </c>
      <c r="M396" s="5" t="s">
        <v>16</v>
      </c>
      <c r="N396"/>
      <c r="O396"/>
      <c r="P396"/>
      <c r="Q396"/>
      <c r="R396"/>
      <c r="S396"/>
      <c r="T396"/>
      <c r="U396"/>
      <c r="V396"/>
      <c r="W396"/>
    </row>
    <row r="397" spans="1:23" ht="15.4">
      <c r="A397" s="5">
        <v>238</v>
      </c>
      <c r="B397" s="5">
        <v>18238</v>
      </c>
      <c r="C397" s="5" t="s">
        <v>423</v>
      </c>
      <c r="D397" s="5" t="s">
        <v>184</v>
      </c>
      <c r="E397" s="5" t="s">
        <v>9</v>
      </c>
      <c r="F397" s="5" t="s">
        <v>1363</v>
      </c>
      <c r="G397" s="8">
        <v>45464</v>
      </c>
      <c r="H397" s="8" t="str">
        <f t="shared" si="6"/>
        <v>Jun</v>
      </c>
      <c r="I397" s="5">
        <v>7500</v>
      </c>
      <c r="J397" s="5">
        <v>7500</v>
      </c>
      <c r="K397" s="5">
        <f>student_data[[#This Row],[Total Fee]]-student_data[[#This Row],[Deposit Fee]]</f>
        <v>0</v>
      </c>
      <c r="L397" s="5" t="str">
        <f>IF(student_data[[#This Row],[Outstanding Fee]]=0,"Paid",IF(student_data[[#This Row],[Deposit Fee]]=0,"Unpaid","Partially Paid"))</f>
        <v>Paid</v>
      </c>
      <c r="M397" s="5" t="s">
        <v>66</v>
      </c>
      <c r="N397"/>
      <c r="O397"/>
      <c r="P397"/>
      <c r="Q397"/>
      <c r="R397"/>
      <c r="S397"/>
      <c r="T397"/>
      <c r="U397"/>
      <c r="V397"/>
      <c r="W397"/>
    </row>
    <row r="398" spans="1:23" ht="15.4">
      <c r="A398" s="5">
        <v>239</v>
      </c>
      <c r="B398" s="5">
        <v>18239</v>
      </c>
      <c r="C398" s="5" t="s">
        <v>424</v>
      </c>
      <c r="D398" s="5" t="s">
        <v>425</v>
      </c>
      <c r="E398" s="5" t="s">
        <v>9</v>
      </c>
      <c r="F398" s="5" t="s">
        <v>1363</v>
      </c>
      <c r="G398" s="8">
        <v>45464</v>
      </c>
      <c r="H398" s="8" t="str">
        <f t="shared" si="6"/>
        <v>Jun</v>
      </c>
      <c r="I398" s="5">
        <v>7500</v>
      </c>
      <c r="J398" s="5">
        <v>6900</v>
      </c>
      <c r="K398" s="5">
        <f>student_data[[#This Row],[Total Fee]]-student_data[[#This Row],[Deposit Fee]]</f>
        <v>600</v>
      </c>
      <c r="L398" s="5" t="str">
        <f>IF(student_data[[#This Row],[Outstanding Fee]]=0,"Paid",IF(student_data[[#This Row],[Deposit Fee]]=0,"Unpaid","Partially Paid"))</f>
        <v>Partially Paid</v>
      </c>
      <c r="M398" s="5" t="s">
        <v>66</v>
      </c>
      <c r="N398"/>
      <c r="O398"/>
      <c r="P398"/>
      <c r="Q398"/>
      <c r="R398"/>
      <c r="S398"/>
      <c r="T398"/>
      <c r="U398"/>
      <c r="V398"/>
      <c r="W398"/>
    </row>
    <row r="399" spans="1:23" ht="15.4">
      <c r="A399" s="5">
        <v>240</v>
      </c>
      <c r="B399" s="5">
        <v>18240</v>
      </c>
      <c r="C399" s="5" t="s">
        <v>426</v>
      </c>
      <c r="D399" s="5" t="s">
        <v>427</v>
      </c>
      <c r="E399" s="5" t="s">
        <v>25</v>
      </c>
      <c r="F399" s="5" t="s">
        <v>1363</v>
      </c>
      <c r="G399" s="8">
        <v>45465</v>
      </c>
      <c r="H399" s="8" t="str">
        <f t="shared" si="6"/>
        <v>Jun</v>
      </c>
      <c r="I399" s="5">
        <v>7500</v>
      </c>
      <c r="J399" s="5">
        <v>7100</v>
      </c>
      <c r="K399" s="5">
        <f>student_data[[#This Row],[Total Fee]]-student_data[[#This Row],[Deposit Fee]]</f>
        <v>400</v>
      </c>
      <c r="L399" s="5" t="str">
        <f>IF(student_data[[#This Row],[Outstanding Fee]]=0,"Paid",IF(student_data[[#This Row],[Deposit Fee]]=0,"Unpaid","Partially Paid"))</f>
        <v>Partially Paid</v>
      </c>
      <c r="M399" s="5" t="s">
        <v>32</v>
      </c>
      <c r="N399"/>
      <c r="O399"/>
      <c r="P399"/>
      <c r="Q399"/>
      <c r="R399"/>
      <c r="S399"/>
      <c r="T399"/>
      <c r="U399"/>
      <c r="V399"/>
      <c r="W399"/>
    </row>
    <row r="400" spans="1:23" ht="15.4">
      <c r="A400" s="5">
        <v>241</v>
      </c>
      <c r="B400" s="5">
        <v>18241</v>
      </c>
      <c r="C400" s="5" t="s">
        <v>428</v>
      </c>
      <c r="D400" s="5" t="s">
        <v>429</v>
      </c>
      <c r="E400" s="5" t="s">
        <v>25</v>
      </c>
      <c r="F400" s="5" t="s">
        <v>1363</v>
      </c>
      <c r="G400" s="8">
        <v>45465</v>
      </c>
      <c r="H400" s="8" t="str">
        <f t="shared" si="6"/>
        <v>Jun</v>
      </c>
      <c r="I400" s="5">
        <v>7500</v>
      </c>
      <c r="J400" s="5">
        <v>7100</v>
      </c>
      <c r="K400" s="5">
        <f>student_data[[#This Row],[Total Fee]]-student_data[[#This Row],[Deposit Fee]]</f>
        <v>400</v>
      </c>
      <c r="L400" s="5" t="str">
        <f>IF(student_data[[#This Row],[Outstanding Fee]]=0,"Paid",IF(student_data[[#This Row],[Deposit Fee]]=0,"Unpaid","Partially Paid"))</f>
        <v>Partially Paid</v>
      </c>
      <c r="M400" s="5" t="s">
        <v>32</v>
      </c>
      <c r="N400"/>
      <c r="O400"/>
      <c r="P400"/>
      <c r="Q400"/>
      <c r="R400"/>
      <c r="S400"/>
      <c r="T400"/>
      <c r="U400"/>
      <c r="V400"/>
      <c r="W400"/>
    </row>
    <row r="401" spans="1:23" ht="15.4">
      <c r="A401" s="5">
        <v>242</v>
      </c>
      <c r="B401" s="5">
        <v>18242</v>
      </c>
      <c r="C401" s="5" t="s">
        <v>430</v>
      </c>
      <c r="D401" s="5" t="s">
        <v>431</v>
      </c>
      <c r="E401" s="5" t="s">
        <v>25</v>
      </c>
      <c r="F401" s="5" t="s">
        <v>1363</v>
      </c>
      <c r="G401" s="8">
        <v>45465</v>
      </c>
      <c r="H401" s="8" t="str">
        <f t="shared" si="6"/>
        <v>Jun</v>
      </c>
      <c r="I401" s="5">
        <v>7500</v>
      </c>
      <c r="J401" s="5">
        <v>7500</v>
      </c>
      <c r="K401" s="5">
        <f>student_data[[#This Row],[Total Fee]]-student_data[[#This Row],[Deposit Fee]]</f>
        <v>0</v>
      </c>
      <c r="L401" s="5" t="str">
        <f>IF(student_data[[#This Row],[Outstanding Fee]]=0,"Paid",IF(student_data[[#This Row],[Deposit Fee]]=0,"Unpaid","Partially Paid"))</f>
        <v>Paid</v>
      </c>
      <c r="M401" s="5" t="s">
        <v>89</v>
      </c>
      <c r="N401"/>
      <c r="O401"/>
      <c r="P401"/>
      <c r="Q401"/>
      <c r="R401"/>
      <c r="S401"/>
      <c r="T401"/>
      <c r="U401"/>
      <c r="V401"/>
      <c r="W401"/>
    </row>
    <row r="402" spans="1:23" ht="15.4">
      <c r="A402" s="5">
        <v>243</v>
      </c>
      <c r="B402" s="5">
        <v>18243</v>
      </c>
      <c r="C402" s="5" t="s">
        <v>432</v>
      </c>
      <c r="D402" s="5" t="s">
        <v>253</v>
      </c>
      <c r="E402" s="5" t="s">
        <v>9</v>
      </c>
      <c r="F402" s="5" t="s">
        <v>1363</v>
      </c>
      <c r="G402" s="8">
        <v>45467</v>
      </c>
      <c r="H402" s="8" t="str">
        <f t="shared" si="6"/>
        <v>Jun</v>
      </c>
      <c r="I402" s="5">
        <v>7500</v>
      </c>
      <c r="J402" s="5">
        <v>6900</v>
      </c>
      <c r="K402" s="5">
        <f>student_data[[#This Row],[Total Fee]]-student_data[[#This Row],[Deposit Fee]]</f>
        <v>600</v>
      </c>
      <c r="L402" s="5" t="str">
        <f>IF(student_data[[#This Row],[Outstanding Fee]]=0,"Paid",IF(student_data[[#This Row],[Deposit Fee]]=0,"Unpaid","Partially Paid"))</f>
        <v>Partially Paid</v>
      </c>
      <c r="M402" s="5" t="s">
        <v>10</v>
      </c>
      <c r="N402"/>
      <c r="O402"/>
      <c r="P402"/>
      <c r="Q402"/>
      <c r="R402"/>
      <c r="S402"/>
      <c r="T402"/>
      <c r="U402"/>
      <c r="V402"/>
      <c r="W402"/>
    </row>
    <row r="403" spans="1:23" ht="15.4">
      <c r="A403" s="5">
        <v>244</v>
      </c>
      <c r="B403" s="5">
        <v>18244</v>
      </c>
      <c r="C403" s="5" t="s">
        <v>433</v>
      </c>
      <c r="D403" s="5" t="s">
        <v>190</v>
      </c>
      <c r="E403" s="5" t="s">
        <v>9</v>
      </c>
      <c r="F403" s="5" t="s">
        <v>1363</v>
      </c>
      <c r="G403" s="8">
        <v>45467</v>
      </c>
      <c r="H403" s="8" t="str">
        <f t="shared" si="6"/>
        <v>Jun</v>
      </c>
      <c r="I403" s="5">
        <v>7500</v>
      </c>
      <c r="J403" s="5">
        <v>2000</v>
      </c>
      <c r="K403" s="5">
        <f>student_data[[#This Row],[Total Fee]]-student_data[[#This Row],[Deposit Fee]]</f>
        <v>5500</v>
      </c>
      <c r="L403" s="5" t="str">
        <f>IF(student_data[[#This Row],[Outstanding Fee]]=0,"Paid",IF(student_data[[#This Row],[Deposit Fee]]=0,"Unpaid","Partially Paid"))</f>
        <v>Partially Paid</v>
      </c>
      <c r="M403" s="5" t="s">
        <v>13</v>
      </c>
      <c r="N403"/>
      <c r="O403"/>
      <c r="P403"/>
      <c r="Q403"/>
      <c r="R403"/>
      <c r="S403"/>
      <c r="T403"/>
      <c r="U403"/>
      <c r="V403"/>
      <c r="W403"/>
    </row>
    <row r="404" spans="1:23" ht="15.4">
      <c r="A404" s="5">
        <v>245</v>
      </c>
      <c r="B404" s="5">
        <v>18245</v>
      </c>
      <c r="C404" s="5" t="s">
        <v>434</v>
      </c>
      <c r="D404" s="5" t="s">
        <v>435</v>
      </c>
      <c r="E404" s="5" t="s">
        <v>9</v>
      </c>
      <c r="F404" s="5" t="s">
        <v>1363</v>
      </c>
      <c r="G404" s="8">
        <v>45467</v>
      </c>
      <c r="H404" s="8" t="str">
        <f t="shared" si="6"/>
        <v>Jun</v>
      </c>
      <c r="I404" s="5">
        <v>7500</v>
      </c>
      <c r="J404" s="5">
        <v>7500</v>
      </c>
      <c r="K404" s="5">
        <f>student_data[[#This Row],[Total Fee]]-student_data[[#This Row],[Deposit Fee]]</f>
        <v>0</v>
      </c>
      <c r="L404" s="5" t="str">
        <f>IF(student_data[[#This Row],[Outstanding Fee]]=0,"Paid",IF(student_data[[#This Row],[Deposit Fee]]=0,"Unpaid","Partially Paid"))</f>
        <v>Paid</v>
      </c>
      <c r="M404" s="5" t="s">
        <v>16</v>
      </c>
      <c r="N404"/>
      <c r="O404"/>
      <c r="P404"/>
      <c r="Q404"/>
      <c r="R404"/>
      <c r="S404"/>
      <c r="T404"/>
      <c r="U404"/>
      <c r="V404"/>
      <c r="W404"/>
    </row>
    <row r="405" spans="1:23" ht="15.4">
      <c r="A405" s="5">
        <v>246</v>
      </c>
      <c r="B405" s="5">
        <v>18246</v>
      </c>
      <c r="C405" s="5" t="s">
        <v>436</v>
      </c>
      <c r="D405" s="5" t="s">
        <v>437</v>
      </c>
      <c r="E405" s="5" t="s">
        <v>9</v>
      </c>
      <c r="F405" s="5" t="s">
        <v>1363</v>
      </c>
      <c r="G405" s="8">
        <v>45468</v>
      </c>
      <c r="H405" s="8" t="str">
        <f t="shared" si="6"/>
        <v>Jun</v>
      </c>
      <c r="I405" s="5">
        <v>7500</v>
      </c>
      <c r="J405" s="5">
        <v>7500</v>
      </c>
      <c r="K405" s="5">
        <f>student_data[[#This Row],[Total Fee]]-student_data[[#This Row],[Deposit Fee]]</f>
        <v>0</v>
      </c>
      <c r="L405" s="5" t="str">
        <f>IF(student_data[[#This Row],[Outstanding Fee]]=0,"Paid",IF(student_data[[#This Row],[Deposit Fee]]=0,"Unpaid","Partially Paid"))</f>
        <v>Paid</v>
      </c>
      <c r="M405" s="5" t="s">
        <v>19</v>
      </c>
      <c r="N405"/>
      <c r="O405"/>
      <c r="P405"/>
      <c r="Q405"/>
      <c r="R405"/>
      <c r="S405"/>
      <c r="T405"/>
      <c r="U405"/>
      <c r="V405"/>
      <c r="W405"/>
    </row>
    <row r="406" spans="1:23" ht="15.4">
      <c r="A406" s="5">
        <v>247</v>
      </c>
      <c r="B406" s="5">
        <v>18247</v>
      </c>
      <c r="C406" s="5" t="s">
        <v>438</v>
      </c>
      <c r="D406" s="5" t="s">
        <v>439</v>
      </c>
      <c r="E406" s="5" t="s">
        <v>25</v>
      </c>
      <c r="F406" s="5" t="s">
        <v>1363</v>
      </c>
      <c r="G406" s="8">
        <v>45468</v>
      </c>
      <c r="H406" s="8" t="str">
        <f t="shared" si="6"/>
        <v>Jun</v>
      </c>
      <c r="I406" s="5">
        <v>7500</v>
      </c>
      <c r="J406" s="5">
        <v>6900</v>
      </c>
      <c r="K406" s="5">
        <f>student_data[[#This Row],[Total Fee]]-student_data[[#This Row],[Deposit Fee]]</f>
        <v>600</v>
      </c>
      <c r="L406" s="5" t="str">
        <f>IF(student_data[[#This Row],[Outstanding Fee]]=0,"Paid",IF(student_data[[#This Row],[Deposit Fee]]=0,"Unpaid","Partially Paid"))</f>
        <v>Partially Paid</v>
      </c>
      <c r="M406" s="5" t="s">
        <v>22</v>
      </c>
      <c r="N406"/>
      <c r="O406"/>
      <c r="P406"/>
      <c r="Q406"/>
      <c r="R406"/>
      <c r="S406"/>
      <c r="T406"/>
      <c r="U406"/>
      <c r="V406"/>
      <c r="W406"/>
    </row>
    <row r="407" spans="1:23" ht="15.4">
      <c r="A407" s="5">
        <v>248</v>
      </c>
      <c r="B407" s="5">
        <v>18248</v>
      </c>
      <c r="C407" s="5" t="s">
        <v>440</v>
      </c>
      <c r="D407" s="5" t="s">
        <v>441</v>
      </c>
      <c r="E407" s="5" t="s">
        <v>9</v>
      </c>
      <c r="F407" s="5" t="s">
        <v>1363</v>
      </c>
      <c r="G407" s="8">
        <v>45468</v>
      </c>
      <c r="H407" s="8" t="str">
        <f t="shared" si="6"/>
        <v>Jun</v>
      </c>
      <c r="I407" s="5">
        <v>7500</v>
      </c>
      <c r="J407" s="5">
        <v>7500</v>
      </c>
      <c r="K407" s="5">
        <f>student_data[[#This Row],[Total Fee]]-student_data[[#This Row],[Deposit Fee]]</f>
        <v>0</v>
      </c>
      <c r="L407" s="5" t="str">
        <f>IF(student_data[[#This Row],[Outstanding Fee]]=0,"Paid",IF(student_data[[#This Row],[Deposit Fee]]=0,"Unpaid","Partially Paid"))</f>
        <v>Paid</v>
      </c>
      <c r="M407" s="5" t="s">
        <v>26</v>
      </c>
      <c r="N407"/>
      <c r="O407"/>
      <c r="P407"/>
      <c r="Q407"/>
      <c r="R407"/>
      <c r="S407"/>
      <c r="T407"/>
      <c r="U407"/>
      <c r="V407"/>
      <c r="W407"/>
    </row>
    <row r="408" spans="1:23" ht="15.4">
      <c r="A408" s="5">
        <v>249</v>
      </c>
      <c r="B408" s="5">
        <v>18249</v>
      </c>
      <c r="C408" s="5" t="s">
        <v>442</v>
      </c>
      <c r="D408" s="5" t="s">
        <v>443</v>
      </c>
      <c r="E408" s="5" t="s">
        <v>25</v>
      </c>
      <c r="F408" s="5" t="s">
        <v>1363</v>
      </c>
      <c r="G408" s="8">
        <v>45469</v>
      </c>
      <c r="H408" s="8" t="str">
        <f t="shared" si="6"/>
        <v>Jun</v>
      </c>
      <c r="I408" s="5">
        <v>7500</v>
      </c>
      <c r="J408" s="5">
        <v>7500</v>
      </c>
      <c r="K408" s="5">
        <f>student_data[[#This Row],[Total Fee]]-student_data[[#This Row],[Deposit Fee]]</f>
        <v>0</v>
      </c>
      <c r="L408" s="5" t="str">
        <f>IF(student_data[[#This Row],[Outstanding Fee]]=0,"Paid",IF(student_data[[#This Row],[Deposit Fee]]=0,"Unpaid","Partially Paid"))</f>
        <v>Paid</v>
      </c>
      <c r="M408" s="5" t="s">
        <v>29</v>
      </c>
      <c r="N408"/>
      <c r="O408"/>
      <c r="P408"/>
      <c r="Q408"/>
      <c r="R408"/>
      <c r="S408"/>
      <c r="T408"/>
      <c r="U408"/>
      <c r="V408"/>
      <c r="W408"/>
    </row>
    <row r="409" spans="1:23" ht="15.4">
      <c r="A409" s="5">
        <v>250</v>
      </c>
      <c r="B409" s="5">
        <v>18250</v>
      </c>
      <c r="C409" s="5" t="s">
        <v>444</v>
      </c>
      <c r="D409" s="5" t="s">
        <v>445</v>
      </c>
      <c r="E409" s="5" t="s">
        <v>25</v>
      </c>
      <c r="F409" s="5" t="s">
        <v>1363</v>
      </c>
      <c r="G409" s="8">
        <v>45469</v>
      </c>
      <c r="H409" s="8" t="str">
        <f t="shared" si="6"/>
        <v>Jun</v>
      </c>
      <c r="I409" s="5">
        <v>7500</v>
      </c>
      <c r="J409" s="5">
        <v>6900</v>
      </c>
      <c r="K409" s="5">
        <f>student_data[[#This Row],[Total Fee]]-student_data[[#This Row],[Deposit Fee]]</f>
        <v>600</v>
      </c>
      <c r="L409" s="5" t="str">
        <f>IF(student_data[[#This Row],[Outstanding Fee]]=0,"Paid",IF(student_data[[#This Row],[Deposit Fee]]=0,"Unpaid","Partially Paid"))</f>
        <v>Partially Paid</v>
      </c>
      <c r="M409" s="5" t="s">
        <v>32</v>
      </c>
      <c r="N409"/>
      <c r="O409"/>
      <c r="P409"/>
      <c r="Q409"/>
      <c r="R409"/>
      <c r="S409"/>
      <c r="T409"/>
      <c r="U409"/>
      <c r="V409"/>
      <c r="W409"/>
    </row>
    <row r="410" spans="1:23" ht="15.4">
      <c r="A410" s="5">
        <v>251</v>
      </c>
      <c r="B410" s="5">
        <v>18251</v>
      </c>
      <c r="C410" s="5" t="s">
        <v>446</v>
      </c>
      <c r="D410" s="5" t="s">
        <v>447</v>
      </c>
      <c r="E410" s="5" t="s">
        <v>9</v>
      </c>
      <c r="F410" s="5" t="s">
        <v>1363</v>
      </c>
      <c r="G410" s="8">
        <v>45469</v>
      </c>
      <c r="H410" s="8" t="str">
        <f t="shared" si="6"/>
        <v>Jun</v>
      </c>
      <c r="I410" s="5">
        <v>7500</v>
      </c>
      <c r="J410" s="5">
        <v>7500</v>
      </c>
      <c r="K410" s="5">
        <f>student_data[[#This Row],[Total Fee]]-student_data[[#This Row],[Deposit Fee]]</f>
        <v>0</v>
      </c>
      <c r="L410" s="5" t="str">
        <f>IF(student_data[[#This Row],[Outstanding Fee]]=0,"Paid",IF(student_data[[#This Row],[Deposit Fee]]=0,"Unpaid","Partially Paid"))</f>
        <v>Paid</v>
      </c>
      <c r="M410" s="5" t="s">
        <v>35</v>
      </c>
      <c r="N410"/>
      <c r="O410"/>
      <c r="P410"/>
      <c r="Q410"/>
      <c r="R410"/>
      <c r="S410"/>
      <c r="T410"/>
      <c r="U410"/>
      <c r="V410"/>
      <c r="W410"/>
    </row>
    <row r="411" spans="1:23" ht="15.4">
      <c r="A411" s="5">
        <v>252</v>
      </c>
      <c r="B411" s="5">
        <v>18252</v>
      </c>
      <c r="C411" s="5" t="s">
        <v>448</v>
      </c>
      <c r="D411" s="5" t="s">
        <v>449</v>
      </c>
      <c r="E411" s="5" t="s">
        <v>9</v>
      </c>
      <c r="F411" s="5" t="s">
        <v>1363</v>
      </c>
      <c r="G411" s="8">
        <v>45470</v>
      </c>
      <c r="H411" s="8" t="str">
        <f t="shared" si="6"/>
        <v>Jun</v>
      </c>
      <c r="I411" s="5">
        <v>7500</v>
      </c>
      <c r="J411" s="5">
        <v>7100</v>
      </c>
      <c r="K411" s="5">
        <f>student_data[[#This Row],[Total Fee]]-student_data[[#This Row],[Deposit Fee]]</f>
        <v>400</v>
      </c>
      <c r="L411" s="5" t="str">
        <f>IF(student_data[[#This Row],[Outstanding Fee]]=0,"Paid",IF(student_data[[#This Row],[Deposit Fee]]=0,"Unpaid","Partially Paid"))</f>
        <v>Partially Paid</v>
      </c>
      <c r="M411" s="5" t="s">
        <v>38</v>
      </c>
      <c r="N411"/>
      <c r="O411"/>
      <c r="P411"/>
      <c r="Q411"/>
      <c r="R411"/>
      <c r="S411"/>
      <c r="T411"/>
      <c r="U411"/>
      <c r="V411"/>
      <c r="W411"/>
    </row>
    <row r="412" spans="1:23" ht="15.4">
      <c r="A412" s="5">
        <v>253</v>
      </c>
      <c r="B412" s="5">
        <v>18253</v>
      </c>
      <c r="C412" s="5" t="s">
        <v>450</v>
      </c>
      <c r="D412" s="5" t="s">
        <v>451</v>
      </c>
      <c r="E412" s="5" t="s">
        <v>9</v>
      </c>
      <c r="F412" s="5" t="s">
        <v>1363</v>
      </c>
      <c r="G412" s="8">
        <v>45470</v>
      </c>
      <c r="H412" s="8" t="str">
        <f t="shared" si="6"/>
        <v>Jun</v>
      </c>
      <c r="I412" s="5">
        <v>7500</v>
      </c>
      <c r="J412" s="5">
        <v>7500</v>
      </c>
      <c r="K412" s="5">
        <f>student_data[[#This Row],[Total Fee]]-student_data[[#This Row],[Deposit Fee]]</f>
        <v>0</v>
      </c>
      <c r="L412" s="5" t="str">
        <f>IF(student_data[[#This Row],[Outstanding Fee]]=0,"Paid",IF(student_data[[#This Row],[Deposit Fee]]=0,"Unpaid","Partially Paid"))</f>
        <v>Paid</v>
      </c>
      <c r="M412" s="5" t="s">
        <v>22</v>
      </c>
      <c r="N412"/>
      <c r="O412"/>
      <c r="P412"/>
      <c r="Q412"/>
      <c r="R412"/>
      <c r="S412"/>
      <c r="T412"/>
      <c r="U412"/>
      <c r="V412"/>
      <c r="W412"/>
    </row>
    <row r="413" spans="1:23" ht="15.4">
      <c r="A413" s="5">
        <v>254</v>
      </c>
      <c r="B413" s="5">
        <v>18254</v>
      </c>
      <c r="C413" s="5" t="s">
        <v>452</v>
      </c>
      <c r="D413" s="5" t="s">
        <v>453</v>
      </c>
      <c r="E413" s="5" t="s">
        <v>9</v>
      </c>
      <c r="F413" s="5" t="s">
        <v>1363</v>
      </c>
      <c r="G413" s="8">
        <v>45470</v>
      </c>
      <c r="H413" s="8" t="str">
        <f t="shared" si="6"/>
        <v>Jun</v>
      </c>
      <c r="I413" s="5">
        <v>7500</v>
      </c>
      <c r="J413" s="5">
        <v>7100</v>
      </c>
      <c r="K413" s="5">
        <f>student_data[[#This Row],[Total Fee]]-student_data[[#This Row],[Deposit Fee]]</f>
        <v>400</v>
      </c>
      <c r="L413" s="5" t="str">
        <f>IF(student_data[[#This Row],[Outstanding Fee]]=0,"Paid",IF(student_data[[#This Row],[Deposit Fee]]=0,"Unpaid","Partially Paid"))</f>
        <v>Partially Paid</v>
      </c>
      <c r="M413" s="5" t="s">
        <v>26</v>
      </c>
      <c r="N413"/>
      <c r="O413"/>
      <c r="P413"/>
      <c r="Q413"/>
      <c r="R413"/>
      <c r="S413"/>
      <c r="T413"/>
      <c r="U413"/>
      <c r="V413"/>
      <c r="W413"/>
    </row>
    <row r="414" spans="1:23" ht="15.4">
      <c r="A414" s="5">
        <v>255</v>
      </c>
      <c r="B414" s="5">
        <v>18255</v>
      </c>
      <c r="C414" s="5" t="s">
        <v>130</v>
      </c>
      <c r="D414" s="5" t="s">
        <v>454</v>
      </c>
      <c r="E414" s="5" t="s">
        <v>25</v>
      </c>
      <c r="F414" s="5" t="s">
        <v>1363</v>
      </c>
      <c r="G414" s="8">
        <v>45471</v>
      </c>
      <c r="H414" s="8" t="str">
        <f t="shared" si="6"/>
        <v>Jun</v>
      </c>
      <c r="I414" s="5">
        <v>7500</v>
      </c>
      <c r="J414" s="5">
        <v>7500</v>
      </c>
      <c r="K414" s="5">
        <f>student_data[[#This Row],[Total Fee]]-student_data[[#This Row],[Deposit Fee]]</f>
        <v>0</v>
      </c>
      <c r="L414" s="5" t="str">
        <f>IF(student_data[[#This Row],[Outstanding Fee]]=0,"Paid",IF(student_data[[#This Row],[Deposit Fee]]=0,"Unpaid","Partially Paid"))</f>
        <v>Paid</v>
      </c>
      <c r="M414" s="5" t="s">
        <v>10</v>
      </c>
      <c r="N414"/>
      <c r="O414"/>
      <c r="P414"/>
      <c r="Q414"/>
      <c r="R414"/>
      <c r="S414"/>
      <c r="T414"/>
      <c r="U414"/>
      <c r="V414"/>
      <c r="W414"/>
    </row>
    <row r="415" spans="1:23" ht="15.4">
      <c r="A415" s="5">
        <v>256</v>
      </c>
      <c r="B415" s="5">
        <v>18256</v>
      </c>
      <c r="C415" s="5" t="s">
        <v>455</v>
      </c>
      <c r="D415" s="5" t="s">
        <v>115</v>
      </c>
      <c r="E415" s="5" t="s">
        <v>25</v>
      </c>
      <c r="F415" s="5" t="s">
        <v>1363</v>
      </c>
      <c r="G415" s="8">
        <v>45471</v>
      </c>
      <c r="H415" s="8" t="str">
        <f t="shared" si="6"/>
        <v>Jun</v>
      </c>
      <c r="I415" s="5">
        <v>7500</v>
      </c>
      <c r="J415" s="5">
        <v>6900</v>
      </c>
      <c r="K415" s="5">
        <f>student_data[[#This Row],[Total Fee]]-student_data[[#This Row],[Deposit Fee]]</f>
        <v>600</v>
      </c>
      <c r="L415" s="5" t="str">
        <f>IF(student_data[[#This Row],[Outstanding Fee]]=0,"Paid",IF(student_data[[#This Row],[Deposit Fee]]=0,"Unpaid","Partially Paid"))</f>
        <v>Partially Paid</v>
      </c>
      <c r="M415" s="5" t="s">
        <v>47</v>
      </c>
      <c r="N415"/>
      <c r="O415"/>
      <c r="P415"/>
      <c r="Q415"/>
      <c r="R415"/>
      <c r="S415"/>
      <c r="T415"/>
      <c r="U415"/>
      <c r="V415"/>
      <c r="W415"/>
    </row>
    <row r="416" spans="1:23" ht="15.4">
      <c r="A416" s="5">
        <v>257</v>
      </c>
      <c r="B416" s="5">
        <v>18257</v>
      </c>
      <c r="C416" s="5" t="s">
        <v>456</v>
      </c>
      <c r="D416" s="5" t="s">
        <v>457</v>
      </c>
      <c r="E416" s="5" t="s">
        <v>9</v>
      </c>
      <c r="F416" s="5" t="s">
        <v>1363</v>
      </c>
      <c r="G416" s="8">
        <v>45471</v>
      </c>
      <c r="H416" s="8" t="str">
        <f t="shared" si="6"/>
        <v>Jun</v>
      </c>
      <c r="I416" s="5">
        <v>7500</v>
      </c>
      <c r="J416" s="5">
        <v>6900</v>
      </c>
      <c r="K416" s="5">
        <f>student_data[[#This Row],[Total Fee]]-student_data[[#This Row],[Deposit Fee]]</f>
        <v>600</v>
      </c>
      <c r="L416" s="5" t="str">
        <f>IF(student_data[[#This Row],[Outstanding Fee]]=0,"Paid",IF(student_data[[#This Row],[Deposit Fee]]=0,"Unpaid","Partially Paid"))</f>
        <v>Partially Paid</v>
      </c>
      <c r="M416" s="5" t="s">
        <v>50</v>
      </c>
      <c r="N416"/>
      <c r="O416"/>
      <c r="P416"/>
      <c r="Q416"/>
      <c r="R416"/>
      <c r="S416"/>
      <c r="T416"/>
      <c r="U416"/>
      <c r="V416"/>
      <c r="W416"/>
    </row>
    <row r="417" spans="1:23" ht="15.4">
      <c r="A417" s="5">
        <v>258</v>
      </c>
      <c r="B417" s="5">
        <v>18258</v>
      </c>
      <c r="C417" s="5" t="s">
        <v>458</v>
      </c>
      <c r="D417" s="5" t="s">
        <v>115</v>
      </c>
      <c r="E417" s="5" t="s">
        <v>9</v>
      </c>
      <c r="F417" s="5" t="s">
        <v>1363</v>
      </c>
      <c r="G417" s="8">
        <v>45472</v>
      </c>
      <c r="H417" s="8" t="str">
        <f t="shared" si="6"/>
        <v>Jun</v>
      </c>
      <c r="I417" s="5">
        <v>7500</v>
      </c>
      <c r="J417" s="5">
        <v>7500</v>
      </c>
      <c r="K417" s="5">
        <f>student_data[[#This Row],[Total Fee]]-student_data[[#This Row],[Deposit Fee]]</f>
        <v>0</v>
      </c>
      <c r="L417" s="5" t="str">
        <f>IF(student_data[[#This Row],[Outstanding Fee]]=0,"Paid",IF(student_data[[#This Row],[Deposit Fee]]=0,"Unpaid","Partially Paid"))</f>
        <v>Paid</v>
      </c>
      <c r="M417" s="5" t="s">
        <v>53</v>
      </c>
      <c r="N417"/>
      <c r="O417"/>
      <c r="P417"/>
      <c r="Q417"/>
      <c r="R417"/>
      <c r="S417"/>
      <c r="T417"/>
      <c r="U417"/>
      <c r="V417"/>
      <c r="W417"/>
    </row>
    <row r="418" spans="1:23" ht="15.4">
      <c r="A418" s="5">
        <v>259</v>
      </c>
      <c r="B418" s="5">
        <v>18259</v>
      </c>
      <c r="C418" s="5" t="s">
        <v>459</v>
      </c>
      <c r="D418" s="5" t="s">
        <v>460</v>
      </c>
      <c r="E418" s="5" t="s">
        <v>9</v>
      </c>
      <c r="F418" s="5" t="s">
        <v>1363</v>
      </c>
      <c r="G418" s="8">
        <v>45472</v>
      </c>
      <c r="H418" s="8" t="str">
        <f t="shared" si="6"/>
        <v>Jun</v>
      </c>
      <c r="I418" s="5">
        <v>7500</v>
      </c>
      <c r="J418" s="5">
        <v>6900</v>
      </c>
      <c r="K418" s="5">
        <f>student_data[[#This Row],[Total Fee]]-student_data[[#This Row],[Deposit Fee]]</f>
        <v>600</v>
      </c>
      <c r="L418" s="5" t="str">
        <f>IF(student_data[[#This Row],[Outstanding Fee]]=0,"Paid",IF(student_data[[#This Row],[Deposit Fee]]=0,"Unpaid","Partially Paid"))</f>
        <v>Partially Paid</v>
      </c>
      <c r="M418" s="5" t="s">
        <v>50</v>
      </c>
      <c r="N418"/>
      <c r="O418"/>
      <c r="P418"/>
      <c r="Q418"/>
      <c r="R418"/>
      <c r="S418"/>
      <c r="T418"/>
      <c r="U418"/>
      <c r="V418"/>
      <c r="W418"/>
    </row>
    <row r="419" spans="1:23" ht="15.4">
      <c r="A419" s="5">
        <v>260</v>
      </c>
      <c r="B419" s="5">
        <v>18260</v>
      </c>
      <c r="C419" s="5" t="s">
        <v>461</v>
      </c>
      <c r="D419" s="5" t="s">
        <v>462</v>
      </c>
      <c r="E419" s="5" t="s">
        <v>25</v>
      </c>
      <c r="F419" s="5" t="s">
        <v>1363</v>
      </c>
      <c r="G419" s="8">
        <v>45472</v>
      </c>
      <c r="H419" s="8" t="str">
        <f t="shared" si="6"/>
        <v>Jun</v>
      </c>
      <c r="I419" s="5">
        <v>7500</v>
      </c>
      <c r="J419" s="5">
        <v>7500</v>
      </c>
      <c r="K419" s="5">
        <f>student_data[[#This Row],[Total Fee]]-student_data[[#This Row],[Deposit Fee]]</f>
        <v>0</v>
      </c>
      <c r="L419" s="5" t="str">
        <f>IF(student_data[[#This Row],[Outstanding Fee]]=0,"Paid",IF(student_data[[#This Row],[Deposit Fee]]=0,"Unpaid","Partially Paid"))</f>
        <v>Paid</v>
      </c>
      <c r="M419" s="5" t="s">
        <v>53</v>
      </c>
      <c r="N419"/>
      <c r="O419"/>
      <c r="P419"/>
      <c r="Q419"/>
      <c r="R419"/>
      <c r="S419"/>
      <c r="T419"/>
      <c r="U419"/>
      <c r="V419"/>
      <c r="W419"/>
    </row>
    <row r="420" spans="1:23" ht="15.4">
      <c r="A420" s="5">
        <v>261</v>
      </c>
      <c r="B420" s="5">
        <v>18261</v>
      </c>
      <c r="C420" s="5" t="s">
        <v>463</v>
      </c>
      <c r="D420" s="5" t="s">
        <v>223</v>
      </c>
      <c r="E420" s="5" t="s">
        <v>9</v>
      </c>
      <c r="F420" s="5" t="s">
        <v>1363</v>
      </c>
      <c r="G420" s="8">
        <v>45474</v>
      </c>
      <c r="H420" s="8" t="str">
        <f t="shared" si="6"/>
        <v>Jul</v>
      </c>
      <c r="I420" s="5">
        <v>7500</v>
      </c>
      <c r="J420" s="5">
        <v>7500</v>
      </c>
      <c r="K420" s="5">
        <f>student_data[[#This Row],[Total Fee]]-student_data[[#This Row],[Deposit Fee]]</f>
        <v>0</v>
      </c>
      <c r="L420" s="5" t="str">
        <f>IF(student_data[[#This Row],[Outstanding Fee]]=0,"Paid",IF(student_data[[#This Row],[Deposit Fee]]=0,"Unpaid","Partially Paid"))</f>
        <v>Paid</v>
      </c>
      <c r="M420" s="5" t="s">
        <v>53</v>
      </c>
      <c r="N420"/>
      <c r="O420"/>
      <c r="P420"/>
      <c r="Q420"/>
      <c r="R420"/>
      <c r="S420"/>
      <c r="T420"/>
      <c r="U420"/>
      <c r="V420"/>
      <c r="W420"/>
    </row>
    <row r="421" spans="1:23" ht="15.4">
      <c r="A421" s="5">
        <v>262</v>
      </c>
      <c r="B421" s="5">
        <v>18262</v>
      </c>
      <c r="C421" s="5" t="s">
        <v>464</v>
      </c>
      <c r="D421" s="5" t="s">
        <v>465</v>
      </c>
      <c r="E421" s="5" t="s">
        <v>9</v>
      </c>
      <c r="F421" s="5" t="s">
        <v>1363</v>
      </c>
      <c r="G421" s="8">
        <v>45474</v>
      </c>
      <c r="H421" s="8" t="str">
        <f t="shared" si="6"/>
        <v>Jul</v>
      </c>
      <c r="I421" s="5">
        <v>7500</v>
      </c>
      <c r="J421" s="5">
        <v>6900</v>
      </c>
      <c r="K421" s="5">
        <f>student_data[[#This Row],[Total Fee]]-student_data[[#This Row],[Deposit Fee]]</f>
        <v>600</v>
      </c>
      <c r="L421" s="5" t="str">
        <f>IF(student_data[[#This Row],[Outstanding Fee]]=0,"Paid",IF(student_data[[#This Row],[Deposit Fee]]=0,"Unpaid","Partially Paid"))</f>
        <v>Partially Paid</v>
      </c>
      <c r="M421" s="5" t="s">
        <v>50</v>
      </c>
      <c r="N421"/>
      <c r="O421"/>
      <c r="P421"/>
      <c r="Q421"/>
      <c r="R421"/>
      <c r="S421"/>
      <c r="T421"/>
      <c r="U421"/>
      <c r="V421"/>
      <c r="W421"/>
    </row>
    <row r="422" spans="1:23" ht="15.4">
      <c r="A422" s="5">
        <v>263</v>
      </c>
      <c r="B422" s="5">
        <v>18263</v>
      </c>
      <c r="C422" s="5" t="s">
        <v>466</v>
      </c>
      <c r="D422" s="5" t="s">
        <v>147</v>
      </c>
      <c r="E422" s="5" t="s">
        <v>9</v>
      </c>
      <c r="F422" s="5" t="s">
        <v>1363</v>
      </c>
      <c r="G422" s="8">
        <v>45474</v>
      </c>
      <c r="H422" s="8" t="str">
        <f t="shared" si="6"/>
        <v>Jul</v>
      </c>
      <c r="I422" s="5">
        <v>7500</v>
      </c>
      <c r="J422" s="5">
        <v>7500</v>
      </c>
      <c r="K422" s="5">
        <f>student_data[[#This Row],[Total Fee]]-student_data[[#This Row],[Deposit Fee]]</f>
        <v>0</v>
      </c>
      <c r="L422" s="5" t="str">
        <f>IF(student_data[[#This Row],[Outstanding Fee]]=0,"Paid",IF(student_data[[#This Row],[Deposit Fee]]=0,"Unpaid","Partially Paid"))</f>
        <v>Paid</v>
      </c>
      <c r="M422" s="5" t="s">
        <v>13</v>
      </c>
      <c r="N422"/>
      <c r="O422"/>
      <c r="P422"/>
      <c r="Q422"/>
      <c r="R422"/>
      <c r="S422"/>
      <c r="T422"/>
      <c r="U422"/>
      <c r="V422"/>
      <c r="W422"/>
    </row>
    <row r="423" spans="1:23" ht="15.4">
      <c r="A423" s="5">
        <v>264</v>
      </c>
      <c r="B423" s="5">
        <v>18264</v>
      </c>
      <c r="C423" s="5" t="s">
        <v>467</v>
      </c>
      <c r="D423" s="5" t="s">
        <v>468</v>
      </c>
      <c r="E423" s="5" t="s">
        <v>25</v>
      </c>
      <c r="F423" s="5" t="s">
        <v>1363</v>
      </c>
      <c r="G423" s="8">
        <v>45475</v>
      </c>
      <c r="H423" s="8" t="str">
        <f t="shared" si="6"/>
        <v>Jul</v>
      </c>
      <c r="I423" s="5">
        <v>7500</v>
      </c>
      <c r="J423" s="5">
        <v>7100</v>
      </c>
      <c r="K423" s="5">
        <f>student_data[[#This Row],[Total Fee]]-student_data[[#This Row],[Deposit Fee]]</f>
        <v>400</v>
      </c>
      <c r="L423" s="5" t="str">
        <f>IF(student_data[[#This Row],[Outstanding Fee]]=0,"Paid",IF(student_data[[#This Row],[Deposit Fee]]=0,"Unpaid","Partially Paid"))</f>
        <v>Partially Paid</v>
      </c>
      <c r="M423" s="5" t="s">
        <v>66</v>
      </c>
      <c r="N423"/>
      <c r="O423"/>
      <c r="P423"/>
      <c r="Q423"/>
      <c r="R423"/>
      <c r="S423"/>
      <c r="T423"/>
      <c r="U423"/>
      <c r="V423"/>
      <c r="W423"/>
    </row>
    <row r="424" spans="1:23" ht="15.4">
      <c r="A424" s="5">
        <v>265</v>
      </c>
      <c r="B424" s="5">
        <v>18265</v>
      </c>
      <c r="C424" s="5" t="s">
        <v>469</v>
      </c>
      <c r="D424" s="5" t="s">
        <v>470</v>
      </c>
      <c r="E424" s="5" t="s">
        <v>25</v>
      </c>
      <c r="F424" s="5" t="s">
        <v>1363</v>
      </c>
      <c r="G424" s="8">
        <v>45475</v>
      </c>
      <c r="H424" s="8" t="str">
        <f t="shared" si="6"/>
        <v>Jul</v>
      </c>
      <c r="I424" s="5">
        <v>7500</v>
      </c>
      <c r="J424" s="5">
        <v>7500</v>
      </c>
      <c r="K424" s="5">
        <f>student_data[[#This Row],[Total Fee]]-student_data[[#This Row],[Deposit Fee]]</f>
        <v>0</v>
      </c>
      <c r="L424" s="5" t="str">
        <f>IF(student_data[[#This Row],[Outstanding Fee]]=0,"Paid",IF(student_data[[#This Row],[Deposit Fee]]=0,"Unpaid","Partially Paid"))</f>
        <v>Paid</v>
      </c>
      <c r="M424" s="5" t="s">
        <v>22</v>
      </c>
      <c r="N424"/>
      <c r="O424"/>
      <c r="P424"/>
      <c r="Q424"/>
      <c r="R424"/>
      <c r="S424"/>
      <c r="T424"/>
      <c r="U424"/>
      <c r="V424"/>
      <c r="W424"/>
    </row>
    <row r="425" spans="1:23" ht="15.4">
      <c r="A425" s="5">
        <v>266</v>
      </c>
      <c r="B425" s="5">
        <v>18266</v>
      </c>
      <c r="C425" s="5" t="s">
        <v>471</v>
      </c>
      <c r="D425" s="5" t="s">
        <v>472</v>
      </c>
      <c r="E425" s="5" t="s">
        <v>25</v>
      </c>
      <c r="F425" s="5" t="s">
        <v>1363</v>
      </c>
      <c r="G425" s="8">
        <v>45475</v>
      </c>
      <c r="H425" s="8" t="str">
        <f t="shared" si="6"/>
        <v>Jul</v>
      </c>
      <c r="I425" s="5">
        <v>7500</v>
      </c>
      <c r="J425" s="5">
        <v>7100</v>
      </c>
      <c r="K425" s="5">
        <f>student_data[[#This Row],[Total Fee]]-student_data[[#This Row],[Deposit Fee]]</f>
        <v>400</v>
      </c>
      <c r="L425" s="5" t="str">
        <f>IF(student_data[[#This Row],[Outstanding Fee]]=0,"Paid",IF(student_data[[#This Row],[Deposit Fee]]=0,"Unpaid","Partially Paid"))</f>
        <v>Partially Paid</v>
      </c>
      <c r="M425" s="5" t="s">
        <v>26</v>
      </c>
      <c r="N425"/>
      <c r="O425"/>
      <c r="P425"/>
      <c r="Q425"/>
      <c r="R425"/>
      <c r="S425"/>
      <c r="T425"/>
      <c r="U425"/>
      <c r="V425"/>
      <c r="W425"/>
    </row>
    <row r="426" spans="1:23" ht="15.4">
      <c r="A426" s="5">
        <v>267</v>
      </c>
      <c r="B426" s="5">
        <v>18267</v>
      </c>
      <c r="C426" s="5" t="s">
        <v>473</v>
      </c>
      <c r="D426" s="5" t="s">
        <v>474</v>
      </c>
      <c r="E426" s="5" t="s">
        <v>9</v>
      </c>
      <c r="F426" s="5" t="s">
        <v>1363</v>
      </c>
      <c r="G426" s="8">
        <v>45476</v>
      </c>
      <c r="H426" s="8" t="str">
        <f t="shared" si="6"/>
        <v>Jul</v>
      </c>
      <c r="I426" s="5">
        <v>7500</v>
      </c>
      <c r="J426" s="5">
        <v>7500</v>
      </c>
      <c r="K426" s="5">
        <f>student_data[[#This Row],[Total Fee]]-student_data[[#This Row],[Deposit Fee]]</f>
        <v>0</v>
      </c>
      <c r="L426" s="5" t="str">
        <f>IF(student_data[[#This Row],[Outstanding Fee]]=0,"Paid",IF(student_data[[#This Row],[Deposit Fee]]=0,"Unpaid","Partially Paid"))</f>
        <v>Paid</v>
      </c>
      <c r="M426" s="5" t="s">
        <v>26</v>
      </c>
      <c r="N426"/>
      <c r="O426"/>
      <c r="P426"/>
      <c r="Q426"/>
      <c r="R426"/>
      <c r="S426"/>
      <c r="T426"/>
      <c r="U426"/>
      <c r="V426"/>
      <c r="W426"/>
    </row>
    <row r="427" spans="1:23" ht="15.4">
      <c r="A427" s="5">
        <v>268</v>
      </c>
      <c r="B427" s="5">
        <v>18268</v>
      </c>
      <c r="C427" s="5" t="s">
        <v>475</v>
      </c>
      <c r="D427" s="5" t="s">
        <v>112</v>
      </c>
      <c r="E427" s="5" t="s">
        <v>9</v>
      </c>
      <c r="F427" s="5" t="s">
        <v>1363</v>
      </c>
      <c r="G427" s="8">
        <v>45476</v>
      </c>
      <c r="H427" s="8" t="str">
        <f t="shared" si="6"/>
        <v>Jul</v>
      </c>
      <c r="I427" s="5">
        <v>7500</v>
      </c>
      <c r="J427" s="5">
        <v>6900</v>
      </c>
      <c r="K427" s="5">
        <f>student_data[[#This Row],[Total Fee]]-student_data[[#This Row],[Deposit Fee]]</f>
        <v>600</v>
      </c>
      <c r="L427" s="5" t="str">
        <f>IF(student_data[[#This Row],[Outstanding Fee]]=0,"Paid",IF(student_data[[#This Row],[Deposit Fee]]=0,"Unpaid","Partially Paid"))</f>
        <v>Partially Paid</v>
      </c>
      <c r="M427" s="5" t="s">
        <v>75</v>
      </c>
      <c r="N427"/>
      <c r="O427"/>
      <c r="P427"/>
      <c r="Q427"/>
      <c r="R427"/>
      <c r="S427"/>
      <c r="T427"/>
      <c r="U427"/>
      <c r="V427"/>
      <c r="W427"/>
    </row>
    <row r="428" spans="1:23" ht="15.4">
      <c r="A428" s="5">
        <v>269</v>
      </c>
      <c r="B428" s="5">
        <v>18269</v>
      </c>
      <c r="C428" s="5" t="s">
        <v>476</v>
      </c>
      <c r="D428" s="5" t="s">
        <v>477</v>
      </c>
      <c r="E428" s="5" t="s">
        <v>9</v>
      </c>
      <c r="F428" s="5" t="s">
        <v>1363</v>
      </c>
      <c r="G428" s="8">
        <v>45476</v>
      </c>
      <c r="H428" s="8" t="str">
        <f t="shared" si="6"/>
        <v>Jul</v>
      </c>
      <c r="I428" s="5">
        <v>7500</v>
      </c>
      <c r="J428" s="5">
        <v>2000</v>
      </c>
      <c r="K428" s="5">
        <f>student_data[[#This Row],[Total Fee]]-student_data[[#This Row],[Deposit Fee]]</f>
        <v>5500</v>
      </c>
      <c r="L428" s="5" t="str">
        <f>IF(student_data[[#This Row],[Outstanding Fee]]=0,"Paid",IF(student_data[[#This Row],[Deposit Fee]]=0,"Unpaid","Partially Paid"))</f>
        <v>Partially Paid</v>
      </c>
      <c r="M428" s="5" t="s">
        <v>78</v>
      </c>
      <c r="N428"/>
      <c r="O428"/>
      <c r="P428"/>
      <c r="Q428"/>
      <c r="R428"/>
      <c r="S428"/>
      <c r="T428"/>
      <c r="U428"/>
      <c r="V428"/>
      <c r="W428"/>
    </row>
    <row r="429" spans="1:23" ht="15.4">
      <c r="A429" s="5">
        <v>270</v>
      </c>
      <c r="B429" s="5">
        <v>18270</v>
      </c>
      <c r="C429" s="5" t="s">
        <v>478</v>
      </c>
      <c r="D429" s="5" t="s">
        <v>479</v>
      </c>
      <c r="E429" s="5" t="s">
        <v>25</v>
      </c>
      <c r="F429" s="5" t="s">
        <v>1363</v>
      </c>
      <c r="G429" s="8">
        <v>45477</v>
      </c>
      <c r="H429" s="8" t="str">
        <f t="shared" si="6"/>
        <v>Jul</v>
      </c>
      <c r="I429" s="5">
        <v>7500</v>
      </c>
      <c r="J429" s="5">
        <v>6900</v>
      </c>
      <c r="K429" s="5">
        <f>student_data[[#This Row],[Total Fee]]-student_data[[#This Row],[Deposit Fee]]</f>
        <v>600</v>
      </c>
      <c r="L429" s="5" t="str">
        <f>IF(student_data[[#This Row],[Outstanding Fee]]=0,"Paid",IF(student_data[[#This Row],[Deposit Fee]]=0,"Unpaid","Partially Paid"))</f>
        <v>Partially Paid</v>
      </c>
      <c r="M429" s="5" t="s">
        <v>16</v>
      </c>
      <c r="N429"/>
      <c r="O429"/>
      <c r="P429"/>
      <c r="Q429"/>
      <c r="R429"/>
      <c r="S429"/>
      <c r="T429"/>
      <c r="U429"/>
      <c r="V429"/>
      <c r="W429"/>
    </row>
    <row r="430" spans="1:23" ht="15.4">
      <c r="A430" s="5">
        <v>271</v>
      </c>
      <c r="B430" s="5">
        <v>18271</v>
      </c>
      <c r="C430" s="5" t="s">
        <v>480</v>
      </c>
      <c r="D430" s="5" t="s">
        <v>268</v>
      </c>
      <c r="E430" s="5" t="s">
        <v>9</v>
      </c>
      <c r="F430" s="5" t="s">
        <v>1363</v>
      </c>
      <c r="G430" s="8">
        <v>45477</v>
      </c>
      <c r="H430" s="8" t="str">
        <f t="shared" si="6"/>
        <v>Jul</v>
      </c>
      <c r="I430" s="5">
        <v>7500</v>
      </c>
      <c r="J430" s="5">
        <v>2000</v>
      </c>
      <c r="K430" s="5">
        <f>student_data[[#This Row],[Total Fee]]-student_data[[#This Row],[Deposit Fee]]</f>
        <v>5500</v>
      </c>
      <c r="L430" s="5" t="str">
        <f>IF(student_data[[#This Row],[Outstanding Fee]]=0,"Paid",IF(student_data[[#This Row],[Deposit Fee]]=0,"Unpaid","Partially Paid"))</f>
        <v>Partially Paid</v>
      </c>
      <c r="M430" s="5" t="s">
        <v>66</v>
      </c>
      <c r="N430"/>
      <c r="O430"/>
      <c r="P430"/>
      <c r="Q430"/>
      <c r="R430"/>
      <c r="S430"/>
      <c r="T430"/>
      <c r="U430"/>
      <c r="V430"/>
      <c r="W430"/>
    </row>
    <row r="431" spans="1:23" ht="15.4">
      <c r="A431" s="5">
        <v>272</v>
      </c>
      <c r="B431" s="5">
        <v>18272</v>
      </c>
      <c r="C431" s="5" t="s">
        <v>481</v>
      </c>
      <c r="D431" s="5" t="s">
        <v>482</v>
      </c>
      <c r="E431" s="5" t="s">
        <v>9</v>
      </c>
      <c r="F431" s="5" t="s">
        <v>1363</v>
      </c>
      <c r="G431" s="8">
        <v>45477</v>
      </c>
      <c r="H431" s="8" t="str">
        <f t="shared" si="6"/>
        <v>Jul</v>
      </c>
      <c r="I431" s="5">
        <v>7500</v>
      </c>
      <c r="J431" s="5">
        <v>7500</v>
      </c>
      <c r="K431" s="5">
        <f>student_data[[#This Row],[Total Fee]]-student_data[[#This Row],[Deposit Fee]]</f>
        <v>0</v>
      </c>
      <c r="L431" s="5" t="str">
        <f>IF(student_data[[#This Row],[Outstanding Fee]]=0,"Paid",IF(student_data[[#This Row],[Deposit Fee]]=0,"Unpaid","Partially Paid"))</f>
        <v>Paid</v>
      </c>
      <c r="M431" s="5" t="s">
        <v>66</v>
      </c>
      <c r="N431"/>
      <c r="O431"/>
      <c r="P431"/>
      <c r="Q431"/>
      <c r="R431"/>
      <c r="S431"/>
      <c r="T431"/>
      <c r="U431"/>
      <c r="V431"/>
      <c r="W431"/>
    </row>
    <row r="432" spans="1:23" ht="15.4">
      <c r="A432" s="5">
        <v>273</v>
      </c>
      <c r="B432" s="5">
        <v>18273</v>
      </c>
      <c r="C432" s="5" t="s">
        <v>483</v>
      </c>
      <c r="D432" s="5" t="s">
        <v>77</v>
      </c>
      <c r="E432" s="5" t="s">
        <v>25</v>
      </c>
      <c r="F432" s="5" t="s">
        <v>1363</v>
      </c>
      <c r="G432" s="8">
        <v>45478</v>
      </c>
      <c r="H432" s="8" t="str">
        <f t="shared" si="6"/>
        <v>Jul</v>
      </c>
      <c r="I432" s="5">
        <v>7500</v>
      </c>
      <c r="J432" s="5">
        <v>7500</v>
      </c>
      <c r="K432" s="5">
        <f>student_data[[#This Row],[Total Fee]]-student_data[[#This Row],[Deposit Fee]]</f>
        <v>0</v>
      </c>
      <c r="L432" s="5" t="str">
        <f>IF(student_data[[#This Row],[Outstanding Fee]]=0,"Paid",IF(student_data[[#This Row],[Deposit Fee]]=0,"Unpaid","Partially Paid"))</f>
        <v>Paid</v>
      </c>
      <c r="M432" s="5" t="s">
        <v>32</v>
      </c>
      <c r="N432"/>
      <c r="O432"/>
      <c r="P432"/>
      <c r="Q432"/>
      <c r="R432"/>
      <c r="S432"/>
      <c r="T432"/>
      <c r="U432"/>
      <c r="V432"/>
      <c r="W432"/>
    </row>
    <row r="433" spans="1:23" ht="15.4">
      <c r="A433" s="5">
        <v>274</v>
      </c>
      <c r="B433" s="5">
        <v>18274</v>
      </c>
      <c r="C433" s="5" t="s">
        <v>484</v>
      </c>
      <c r="D433" s="5" t="s">
        <v>37</v>
      </c>
      <c r="E433" s="5" t="s">
        <v>9</v>
      </c>
      <c r="F433" s="5" t="s">
        <v>1363</v>
      </c>
      <c r="G433" s="8">
        <v>45478</v>
      </c>
      <c r="H433" s="8" t="str">
        <f t="shared" si="6"/>
        <v>Jul</v>
      </c>
      <c r="I433" s="5">
        <v>7500</v>
      </c>
      <c r="J433" s="5">
        <v>7500</v>
      </c>
      <c r="K433" s="5">
        <f>student_data[[#This Row],[Total Fee]]-student_data[[#This Row],[Deposit Fee]]</f>
        <v>0</v>
      </c>
      <c r="L433" s="5" t="str">
        <f>IF(student_data[[#This Row],[Outstanding Fee]]=0,"Paid",IF(student_data[[#This Row],[Deposit Fee]]=0,"Unpaid","Partially Paid"))</f>
        <v>Paid</v>
      </c>
      <c r="M433" s="5" t="s">
        <v>32</v>
      </c>
      <c r="N433"/>
      <c r="O433"/>
      <c r="P433"/>
      <c r="Q433"/>
      <c r="R433"/>
      <c r="S433"/>
      <c r="T433"/>
      <c r="U433"/>
      <c r="V433"/>
      <c r="W433"/>
    </row>
    <row r="434" spans="1:23" ht="15.4">
      <c r="A434" s="5">
        <v>275</v>
      </c>
      <c r="B434" s="5">
        <v>18275</v>
      </c>
      <c r="C434" s="5" t="s">
        <v>418</v>
      </c>
      <c r="D434" s="5" t="s">
        <v>485</v>
      </c>
      <c r="E434" s="5" t="s">
        <v>25</v>
      </c>
      <c r="F434" s="5" t="s">
        <v>1363</v>
      </c>
      <c r="G434" s="8">
        <v>45478</v>
      </c>
      <c r="H434" s="8" t="str">
        <f t="shared" si="6"/>
        <v>Jul</v>
      </c>
      <c r="I434" s="5">
        <v>7500</v>
      </c>
      <c r="J434" s="5">
        <v>6900</v>
      </c>
      <c r="K434" s="5">
        <f>student_data[[#This Row],[Total Fee]]-student_data[[#This Row],[Deposit Fee]]</f>
        <v>600</v>
      </c>
      <c r="L434" s="5" t="str">
        <f>IF(student_data[[#This Row],[Outstanding Fee]]=0,"Paid",IF(student_data[[#This Row],[Deposit Fee]]=0,"Unpaid","Partially Paid"))</f>
        <v>Partially Paid</v>
      </c>
      <c r="M434" s="5" t="s">
        <v>89</v>
      </c>
      <c r="N434"/>
      <c r="O434"/>
      <c r="P434"/>
      <c r="Q434"/>
      <c r="R434"/>
      <c r="S434"/>
      <c r="T434"/>
      <c r="U434"/>
      <c r="V434"/>
      <c r="W434"/>
    </row>
    <row r="435" spans="1:23" ht="15.4">
      <c r="A435" s="5">
        <v>276</v>
      </c>
      <c r="B435" s="5">
        <v>18276</v>
      </c>
      <c r="C435" s="5" t="s">
        <v>486</v>
      </c>
      <c r="D435" s="5" t="s">
        <v>487</v>
      </c>
      <c r="E435" s="5" t="s">
        <v>9</v>
      </c>
      <c r="F435" s="5" t="s">
        <v>1363</v>
      </c>
      <c r="G435" s="8">
        <v>45479</v>
      </c>
      <c r="H435" s="8" t="str">
        <f t="shared" si="6"/>
        <v>Jul</v>
      </c>
      <c r="I435" s="5">
        <v>7500</v>
      </c>
      <c r="J435" s="5">
        <v>7100</v>
      </c>
      <c r="K435" s="5">
        <f>student_data[[#This Row],[Total Fee]]-student_data[[#This Row],[Deposit Fee]]</f>
        <v>400</v>
      </c>
      <c r="L435" s="5" t="str">
        <f>IF(student_data[[#This Row],[Outstanding Fee]]=0,"Paid",IF(student_data[[#This Row],[Deposit Fee]]=0,"Unpaid","Partially Paid"))</f>
        <v>Partially Paid</v>
      </c>
      <c r="M435" s="5" t="s">
        <v>19</v>
      </c>
      <c r="N435"/>
      <c r="O435"/>
      <c r="P435"/>
      <c r="Q435"/>
      <c r="R435"/>
      <c r="S435"/>
      <c r="T435"/>
      <c r="U435"/>
      <c r="V435"/>
      <c r="W435"/>
    </row>
    <row r="436" spans="1:23" ht="15.4">
      <c r="A436" s="5">
        <v>277</v>
      </c>
      <c r="B436" s="5">
        <v>18277</v>
      </c>
      <c r="C436" s="5" t="s">
        <v>488</v>
      </c>
      <c r="D436" s="5" t="s">
        <v>489</v>
      </c>
      <c r="E436" s="5" t="s">
        <v>9</v>
      </c>
      <c r="F436" s="5" t="s">
        <v>1363</v>
      </c>
      <c r="G436" s="8">
        <v>45479</v>
      </c>
      <c r="H436" s="8" t="str">
        <f t="shared" si="6"/>
        <v>Jul</v>
      </c>
      <c r="I436" s="5">
        <v>7500</v>
      </c>
      <c r="J436" s="5">
        <v>7100</v>
      </c>
      <c r="K436" s="5">
        <f>student_data[[#This Row],[Total Fee]]-student_data[[#This Row],[Deposit Fee]]</f>
        <v>400</v>
      </c>
      <c r="L436" s="5" t="str">
        <f>IF(student_data[[#This Row],[Outstanding Fee]]=0,"Paid",IF(student_data[[#This Row],[Deposit Fee]]=0,"Unpaid","Partially Paid"))</f>
        <v>Partially Paid</v>
      </c>
      <c r="M436" s="5" t="s">
        <v>47</v>
      </c>
      <c r="N436"/>
      <c r="O436"/>
      <c r="P436"/>
      <c r="Q436"/>
      <c r="R436"/>
      <c r="S436"/>
      <c r="T436"/>
      <c r="U436"/>
      <c r="V436"/>
      <c r="W436"/>
    </row>
    <row r="437" spans="1:23" ht="15.4">
      <c r="A437" s="5">
        <v>278</v>
      </c>
      <c r="B437" s="5">
        <v>18278</v>
      </c>
      <c r="C437" s="5" t="s">
        <v>36</v>
      </c>
      <c r="D437" s="5" t="s">
        <v>490</v>
      </c>
      <c r="E437" s="5" t="s">
        <v>9</v>
      </c>
      <c r="F437" s="5" t="s">
        <v>1363</v>
      </c>
      <c r="G437" s="8">
        <v>45479</v>
      </c>
      <c r="H437" s="8" t="str">
        <f t="shared" si="6"/>
        <v>Jul</v>
      </c>
      <c r="I437" s="5">
        <v>7500</v>
      </c>
      <c r="J437" s="5">
        <v>7500</v>
      </c>
      <c r="K437" s="5">
        <f>student_data[[#This Row],[Total Fee]]-student_data[[#This Row],[Deposit Fee]]</f>
        <v>0</v>
      </c>
      <c r="L437" s="5" t="str">
        <f>IF(student_data[[#This Row],[Outstanding Fee]]=0,"Paid",IF(student_data[[#This Row],[Deposit Fee]]=0,"Unpaid","Partially Paid"))</f>
        <v>Paid</v>
      </c>
      <c r="M437" s="5" t="s">
        <v>75</v>
      </c>
      <c r="N437"/>
      <c r="O437"/>
      <c r="P437"/>
      <c r="Q437"/>
      <c r="R437"/>
      <c r="S437"/>
      <c r="T437"/>
      <c r="U437"/>
      <c r="V437"/>
      <c r="W437"/>
    </row>
    <row r="438" spans="1:23" ht="15.4">
      <c r="A438" s="5">
        <v>279</v>
      </c>
      <c r="B438" s="5">
        <v>18279</v>
      </c>
      <c r="C438" s="5" t="s">
        <v>11</v>
      </c>
      <c r="D438" s="5" t="s">
        <v>491</v>
      </c>
      <c r="E438" s="5" t="s">
        <v>9</v>
      </c>
      <c r="F438" s="5" t="s">
        <v>1363</v>
      </c>
      <c r="G438" s="8">
        <v>45481</v>
      </c>
      <c r="H438" s="8" t="str">
        <f t="shared" si="6"/>
        <v>Jul</v>
      </c>
      <c r="I438" s="5">
        <v>7500</v>
      </c>
      <c r="J438" s="5">
        <v>6900</v>
      </c>
      <c r="K438" s="5">
        <f>student_data[[#This Row],[Total Fee]]-student_data[[#This Row],[Deposit Fee]]</f>
        <v>600</v>
      </c>
      <c r="L438" s="5" t="str">
        <f>IF(student_data[[#This Row],[Outstanding Fee]]=0,"Paid",IF(student_data[[#This Row],[Deposit Fee]]=0,"Unpaid","Partially Paid"))</f>
        <v>Partially Paid</v>
      </c>
      <c r="M438" s="5" t="s">
        <v>89</v>
      </c>
      <c r="N438"/>
      <c r="O438"/>
      <c r="P438"/>
      <c r="Q438"/>
      <c r="R438"/>
      <c r="S438"/>
      <c r="T438"/>
      <c r="U438"/>
      <c r="V438"/>
      <c r="W438"/>
    </row>
    <row r="439" spans="1:23" ht="15.4">
      <c r="A439" s="5">
        <v>280</v>
      </c>
      <c r="B439" s="5">
        <v>18280</v>
      </c>
      <c r="C439" s="5" t="s">
        <v>492</v>
      </c>
      <c r="D439" s="5" t="s">
        <v>493</v>
      </c>
      <c r="E439" s="5" t="s">
        <v>25</v>
      </c>
      <c r="F439" s="5" t="s">
        <v>1363</v>
      </c>
      <c r="G439" s="8">
        <v>45481</v>
      </c>
      <c r="H439" s="8" t="str">
        <f t="shared" si="6"/>
        <v>Jul</v>
      </c>
      <c r="I439" s="5">
        <v>7500</v>
      </c>
      <c r="J439" s="5">
        <v>7500</v>
      </c>
      <c r="K439" s="5">
        <f>student_data[[#This Row],[Total Fee]]-student_data[[#This Row],[Deposit Fee]]</f>
        <v>0</v>
      </c>
      <c r="L439" s="5" t="str">
        <f>IF(student_data[[#This Row],[Outstanding Fee]]=0,"Paid",IF(student_data[[#This Row],[Deposit Fee]]=0,"Unpaid","Partially Paid"))</f>
        <v>Paid</v>
      </c>
      <c r="M439" s="5" t="s">
        <v>29</v>
      </c>
      <c r="N439"/>
      <c r="O439"/>
      <c r="P439"/>
      <c r="Q439"/>
      <c r="R439"/>
      <c r="S439"/>
      <c r="T439"/>
      <c r="U439"/>
      <c r="V439"/>
      <c r="W439"/>
    </row>
    <row r="440" spans="1:23" ht="15.4">
      <c r="A440" s="5">
        <v>281</v>
      </c>
      <c r="B440" s="5">
        <v>18281</v>
      </c>
      <c r="C440" s="5" t="s">
        <v>494</v>
      </c>
      <c r="D440" s="5" t="s">
        <v>495</v>
      </c>
      <c r="E440" s="5" t="s">
        <v>25</v>
      </c>
      <c r="F440" s="5" t="s">
        <v>1363</v>
      </c>
      <c r="G440" s="8">
        <v>45481</v>
      </c>
      <c r="H440" s="8" t="str">
        <f t="shared" si="6"/>
        <v>Jul</v>
      </c>
      <c r="I440" s="5">
        <v>7500</v>
      </c>
      <c r="J440" s="5">
        <v>6900</v>
      </c>
      <c r="K440" s="5">
        <f>student_data[[#This Row],[Total Fee]]-student_data[[#This Row],[Deposit Fee]]</f>
        <v>600</v>
      </c>
      <c r="L440" s="5" t="str">
        <f>IF(student_data[[#This Row],[Outstanding Fee]]=0,"Paid",IF(student_data[[#This Row],[Deposit Fee]]=0,"Unpaid","Partially Paid"))</f>
        <v>Partially Paid</v>
      </c>
      <c r="M440" s="5" t="s">
        <v>10</v>
      </c>
      <c r="N440"/>
      <c r="O440"/>
      <c r="P440"/>
      <c r="Q440"/>
      <c r="R440"/>
      <c r="S440"/>
      <c r="T440"/>
      <c r="U440"/>
      <c r="V440"/>
      <c r="W440"/>
    </row>
    <row r="441" spans="1:23" ht="15.4">
      <c r="A441" s="5">
        <v>282</v>
      </c>
      <c r="B441" s="5">
        <v>18282</v>
      </c>
      <c r="C441" s="5" t="s">
        <v>496</v>
      </c>
      <c r="D441" s="5" t="s">
        <v>497</v>
      </c>
      <c r="E441" s="5" t="s">
        <v>25</v>
      </c>
      <c r="F441" s="5" t="s">
        <v>1363</v>
      </c>
      <c r="G441" s="8">
        <v>45482</v>
      </c>
      <c r="H441" s="8" t="str">
        <f t="shared" si="6"/>
        <v>Jul</v>
      </c>
      <c r="I441" s="5">
        <v>7500</v>
      </c>
      <c r="J441" s="5">
        <v>7500</v>
      </c>
      <c r="K441" s="5">
        <f>student_data[[#This Row],[Total Fee]]-student_data[[#This Row],[Deposit Fee]]</f>
        <v>0</v>
      </c>
      <c r="L441" s="5" t="str">
        <f>IF(student_data[[#This Row],[Outstanding Fee]]=0,"Paid",IF(student_data[[#This Row],[Deposit Fee]]=0,"Unpaid","Partially Paid"))</f>
        <v>Paid</v>
      </c>
      <c r="M441" s="5" t="s">
        <v>13</v>
      </c>
      <c r="N441"/>
      <c r="O441"/>
      <c r="P441"/>
      <c r="Q441"/>
      <c r="R441"/>
      <c r="S441"/>
      <c r="T441"/>
      <c r="U441"/>
      <c r="V441"/>
      <c r="W441"/>
    </row>
    <row r="442" spans="1:23" ht="15.4">
      <c r="A442" s="5">
        <v>283</v>
      </c>
      <c r="B442" s="5">
        <v>18283</v>
      </c>
      <c r="C442" s="5" t="s">
        <v>498</v>
      </c>
      <c r="D442" s="5" t="s">
        <v>499</v>
      </c>
      <c r="E442" s="5" t="s">
        <v>9</v>
      </c>
      <c r="F442" s="5" t="s">
        <v>1363</v>
      </c>
      <c r="G442" s="8">
        <v>45482</v>
      </c>
      <c r="H442" s="8" t="str">
        <f t="shared" si="6"/>
        <v>Jul</v>
      </c>
      <c r="I442" s="5">
        <v>7500</v>
      </c>
      <c r="J442" s="5">
        <v>6900</v>
      </c>
      <c r="K442" s="5">
        <f>student_data[[#This Row],[Total Fee]]-student_data[[#This Row],[Deposit Fee]]</f>
        <v>600</v>
      </c>
      <c r="L442" s="5" t="str">
        <f>IF(student_data[[#This Row],[Outstanding Fee]]=0,"Paid",IF(student_data[[#This Row],[Deposit Fee]]=0,"Unpaid","Partially Paid"))</f>
        <v>Partially Paid</v>
      </c>
      <c r="M442" s="5" t="s">
        <v>38</v>
      </c>
      <c r="N442"/>
      <c r="O442"/>
      <c r="P442"/>
      <c r="Q442"/>
      <c r="R442"/>
      <c r="S442"/>
      <c r="T442"/>
      <c r="U442"/>
      <c r="V442"/>
      <c r="W442"/>
    </row>
    <row r="443" spans="1:23" ht="15.4">
      <c r="A443" s="5">
        <v>284</v>
      </c>
      <c r="B443" s="5">
        <v>18284</v>
      </c>
      <c r="C443" s="5" t="s">
        <v>500</v>
      </c>
      <c r="D443" s="5" t="s">
        <v>273</v>
      </c>
      <c r="E443" s="5" t="s">
        <v>9</v>
      </c>
      <c r="F443" s="5" t="s">
        <v>1363</v>
      </c>
      <c r="G443" s="8">
        <v>45482</v>
      </c>
      <c r="H443" s="8" t="str">
        <f t="shared" si="6"/>
        <v>Jul</v>
      </c>
      <c r="I443" s="5">
        <v>7500</v>
      </c>
      <c r="J443" s="5">
        <v>7500</v>
      </c>
      <c r="K443" s="5">
        <f>student_data[[#This Row],[Total Fee]]-student_data[[#This Row],[Deposit Fee]]</f>
        <v>0</v>
      </c>
      <c r="L443" s="5" t="str">
        <f>IF(student_data[[#This Row],[Outstanding Fee]]=0,"Paid",IF(student_data[[#This Row],[Deposit Fee]]=0,"Unpaid","Partially Paid"))</f>
        <v>Paid</v>
      </c>
      <c r="M443" s="5" t="s">
        <v>78</v>
      </c>
      <c r="N443"/>
      <c r="O443"/>
      <c r="P443"/>
      <c r="Q443"/>
      <c r="R443"/>
      <c r="S443"/>
      <c r="T443"/>
      <c r="U443"/>
      <c r="V443"/>
      <c r="W443"/>
    </row>
    <row r="444" spans="1:23" ht="15.4">
      <c r="A444" s="5">
        <v>285</v>
      </c>
      <c r="B444" s="5">
        <v>18285</v>
      </c>
      <c r="C444" s="5" t="s">
        <v>501</v>
      </c>
      <c r="D444" s="5" t="s">
        <v>502</v>
      </c>
      <c r="E444" s="5" t="s">
        <v>9</v>
      </c>
      <c r="F444" s="5" t="s">
        <v>1363</v>
      </c>
      <c r="G444" s="8">
        <v>45483</v>
      </c>
      <c r="H444" s="8" t="str">
        <f t="shared" si="6"/>
        <v>Jul</v>
      </c>
      <c r="I444" s="5">
        <v>7500</v>
      </c>
      <c r="J444" s="5">
        <v>7500</v>
      </c>
      <c r="K444" s="5">
        <f>student_data[[#This Row],[Total Fee]]-student_data[[#This Row],[Deposit Fee]]</f>
        <v>0</v>
      </c>
      <c r="L444" s="5" t="str">
        <f>IF(student_data[[#This Row],[Outstanding Fee]]=0,"Paid",IF(student_data[[#This Row],[Deposit Fee]]=0,"Unpaid","Partially Paid"))</f>
        <v>Paid</v>
      </c>
      <c r="M444" s="5" t="s">
        <v>16</v>
      </c>
      <c r="N444"/>
      <c r="O444"/>
      <c r="P444"/>
      <c r="Q444"/>
      <c r="R444"/>
      <c r="S444"/>
      <c r="T444"/>
      <c r="U444"/>
      <c r="V444"/>
      <c r="W444"/>
    </row>
    <row r="445" spans="1:23" ht="15.4">
      <c r="A445" s="5">
        <v>286</v>
      </c>
      <c r="B445" s="5">
        <v>18286</v>
      </c>
      <c r="C445" s="5" t="s">
        <v>503</v>
      </c>
      <c r="D445" s="5" t="s">
        <v>333</v>
      </c>
      <c r="E445" s="5" t="s">
        <v>9</v>
      </c>
      <c r="F445" s="5" t="s">
        <v>1363</v>
      </c>
      <c r="G445" s="8">
        <v>45483</v>
      </c>
      <c r="H445" s="8" t="str">
        <f t="shared" si="6"/>
        <v>Jul</v>
      </c>
      <c r="I445" s="5">
        <v>7500</v>
      </c>
      <c r="J445" s="5">
        <v>6900</v>
      </c>
      <c r="K445" s="5">
        <f>student_data[[#This Row],[Total Fee]]-student_data[[#This Row],[Deposit Fee]]</f>
        <v>600</v>
      </c>
      <c r="L445" s="5" t="str">
        <f>IF(student_data[[#This Row],[Outstanding Fee]]=0,"Paid",IF(student_data[[#This Row],[Deposit Fee]]=0,"Unpaid","Partially Paid"))</f>
        <v>Partially Paid</v>
      </c>
      <c r="M445" s="5" t="s">
        <v>19</v>
      </c>
      <c r="N445"/>
      <c r="O445"/>
      <c r="P445"/>
      <c r="Q445"/>
      <c r="R445"/>
      <c r="S445"/>
      <c r="T445"/>
      <c r="U445"/>
      <c r="V445"/>
      <c r="W445"/>
    </row>
    <row r="446" spans="1:23" ht="15.4">
      <c r="A446" s="5">
        <v>287</v>
      </c>
      <c r="B446" s="5">
        <v>18287</v>
      </c>
      <c r="C446" s="5" t="s">
        <v>504</v>
      </c>
      <c r="D446" s="5" t="s">
        <v>505</v>
      </c>
      <c r="E446" s="5" t="s">
        <v>9</v>
      </c>
      <c r="F446" s="5" t="s">
        <v>1363</v>
      </c>
      <c r="G446" s="8">
        <v>45483</v>
      </c>
      <c r="H446" s="8" t="str">
        <f t="shared" si="6"/>
        <v>Jul</v>
      </c>
      <c r="I446" s="5">
        <v>7500</v>
      </c>
      <c r="J446" s="5">
        <v>7500</v>
      </c>
      <c r="K446" s="5">
        <f>student_data[[#This Row],[Total Fee]]-student_data[[#This Row],[Deposit Fee]]</f>
        <v>0</v>
      </c>
      <c r="L446" s="5" t="str">
        <f>IF(student_data[[#This Row],[Outstanding Fee]]=0,"Paid",IF(student_data[[#This Row],[Deposit Fee]]=0,"Unpaid","Partially Paid"))</f>
        <v>Paid</v>
      </c>
      <c r="M446" s="5" t="s">
        <v>47</v>
      </c>
      <c r="N446"/>
      <c r="O446"/>
      <c r="P446"/>
      <c r="Q446"/>
      <c r="R446"/>
      <c r="S446"/>
      <c r="T446"/>
      <c r="U446"/>
      <c r="V446"/>
      <c r="W446"/>
    </row>
    <row r="447" spans="1:23" ht="15.4">
      <c r="A447" s="5">
        <v>288</v>
      </c>
      <c r="B447" s="5">
        <v>18288</v>
      </c>
      <c r="C447" s="5" t="s">
        <v>506</v>
      </c>
      <c r="D447" s="5" t="s">
        <v>507</v>
      </c>
      <c r="E447" s="5" t="s">
        <v>25</v>
      </c>
      <c r="F447" s="5" t="s">
        <v>1363</v>
      </c>
      <c r="G447" s="8">
        <v>45484</v>
      </c>
      <c r="H447" s="8" t="str">
        <f t="shared" si="6"/>
        <v>Jul</v>
      </c>
      <c r="I447" s="5">
        <v>7500</v>
      </c>
      <c r="J447" s="5">
        <v>7500</v>
      </c>
      <c r="K447" s="5">
        <f>student_data[[#This Row],[Total Fee]]-student_data[[#This Row],[Deposit Fee]]</f>
        <v>0</v>
      </c>
      <c r="L447" s="5" t="str">
        <f>IF(student_data[[#This Row],[Outstanding Fee]]=0,"Paid",IF(student_data[[#This Row],[Deposit Fee]]=0,"Unpaid","Partially Paid"))</f>
        <v>Paid</v>
      </c>
      <c r="M447" s="5" t="s">
        <v>75</v>
      </c>
      <c r="N447"/>
      <c r="O447"/>
      <c r="P447"/>
      <c r="Q447"/>
      <c r="R447"/>
      <c r="S447"/>
      <c r="T447"/>
      <c r="U447"/>
      <c r="V447"/>
      <c r="W447"/>
    </row>
    <row r="448" spans="1:23" ht="15.4">
      <c r="A448" s="5">
        <v>289</v>
      </c>
      <c r="B448" s="5">
        <v>18289</v>
      </c>
      <c r="C448" s="5" t="s">
        <v>508</v>
      </c>
      <c r="D448" s="5" t="s">
        <v>509</v>
      </c>
      <c r="E448" s="5" t="s">
        <v>25</v>
      </c>
      <c r="F448" s="5" t="s">
        <v>1363</v>
      </c>
      <c r="G448" s="8">
        <v>45484</v>
      </c>
      <c r="H448" s="8" t="str">
        <f t="shared" si="6"/>
        <v>Jul</v>
      </c>
      <c r="I448" s="5">
        <v>7500</v>
      </c>
      <c r="J448" s="5">
        <v>7100</v>
      </c>
      <c r="K448" s="5">
        <f>student_data[[#This Row],[Total Fee]]-student_data[[#This Row],[Deposit Fee]]</f>
        <v>400</v>
      </c>
      <c r="L448" s="5" t="str">
        <f>IF(student_data[[#This Row],[Outstanding Fee]]=0,"Paid",IF(student_data[[#This Row],[Deposit Fee]]=0,"Unpaid","Partially Paid"))</f>
        <v>Partially Paid</v>
      </c>
      <c r="M448" s="5" t="s">
        <v>89</v>
      </c>
      <c r="N448"/>
      <c r="O448"/>
      <c r="P448"/>
      <c r="Q448"/>
      <c r="R448"/>
      <c r="S448"/>
      <c r="T448"/>
      <c r="U448"/>
      <c r="V448"/>
      <c r="W448"/>
    </row>
    <row r="449" spans="1:23" ht="15.4">
      <c r="A449" s="5">
        <v>290</v>
      </c>
      <c r="B449" s="5">
        <v>18290</v>
      </c>
      <c r="C449" s="5" t="s">
        <v>510</v>
      </c>
      <c r="D449" s="5" t="s">
        <v>511</v>
      </c>
      <c r="E449" s="5" t="s">
        <v>25</v>
      </c>
      <c r="F449" s="5" t="s">
        <v>1363</v>
      </c>
      <c r="G449" s="8">
        <v>45484</v>
      </c>
      <c r="H449" s="8" t="str">
        <f t="shared" si="6"/>
        <v>Jul</v>
      </c>
      <c r="I449" s="5">
        <v>7500</v>
      </c>
      <c r="J449" s="5">
        <v>7100</v>
      </c>
      <c r="K449" s="5">
        <f>student_data[[#This Row],[Total Fee]]-student_data[[#This Row],[Deposit Fee]]</f>
        <v>400</v>
      </c>
      <c r="L449" s="5" t="str">
        <f>IF(student_data[[#This Row],[Outstanding Fee]]=0,"Paid",IF(student_data[[#This Row],[Deposit Fee]]=0,"Unpaid","Partially Paid"))</f>
        <v>Partially Paid</v>
      </c>
      <c r="M449" s="5" t="s">
        <v>29</v>
      </c>
      <c r="N449"/>
      <c r="O449"/>
      <c r="P449"/>
      <c r="Q449"/>
      <c r="R449"/>
      <c r="S449"/>
      <c r="T449"/>
      <c r="U449"/>
      <c r="V449"/>
      <c r="W449"/>
    </row>
    <row r="450" spans="1:23" ht="15.4">
      <c r="A450" s="5">
        <v>291</v>
      </c>
      <c r="B450" s="5">
        <v>18291</v>
      </c>
      <c r="C450" s="5" t="s">
        <v>512</v>
      </c>
      <c r="D450" s="5" t="s">
        <v>513</v>
      </c>
      <c r="E450" s="5" t="s">
        <v>9</v>
      </c>
      <c r="F450" s="5" t="s">
        <v>1363</v>
      </c>
      <c r="G450" s="8">
        <v>45485</v>
      </c>
      <c r="H450" s="8" t="str">
        <f t="shared" ref="H450:H513" si="7">TEXT(G450,"mmm")</f>
        <v>Jul</v>
      </c>
      <c r="I450" s="5">
        <v>7500</v>
      </c>
      <c r="J450" s="5">
        <v>6900</v>
      </c>
      <c r="K450" s="5">
        <f>student_data[[#This Row],[Total Fee]]-student_data[[#This Row],[Deposit Fee]]</f>
        <v>600</v>
      </c>
      <c r="L450" s="5" t="str">
        <f>IF(student_data[[#This Row],[Outstanding Fee]]=0,"Paid",IF(student_data[[#This Row],[Deposit Fee]]=0,"Unpaid","Partially Paid"))</f>
        <v>Partially Paid</v>
      </c>
      <c r="M450" s="5" t="s">
        <v>10</v>
      </c>
      <c r="N450"/>
      <c r="O450"/>
      <c r="P450"/>
      <c r="Q450"/>
      <c r="R450"/>
      <c r="S450"/>
      <c r="T450"/>
      <c r="U450"/>
      <c r="V450"/>
      <c r="W450"/>
    </row>
    <row r="451" spans="1:23" ht="15.4">
      <c r="A451" s="5">
        <v>292</v>
      </c>
      <c r="B451" s="5">
        <v>18292</v>
      </c>
      <c r="C451" s="5" t="s">
        <v>514</v>
      </c>
      <c r="D451" s="5" t="s">
        <v>335</v>
      </c>
      <c r="E451" s="5" t="s">
        <v>9</v>
      </c>
      <c r="F451" s="5" t="s">
        <v>1363</v>
      </c>
      <c r="G451" s="8">
        <v>45485</v>
      </c>
      <c r="H451" s="8" t="str">
        <f t="shared" si="7"/>
        <v>Jul</v>
      </c>
      <c r="I451" s="5">
        <v>7500</v>
      </c>
      <c r="J451" s="5">
        <v>7500</v>
      </c>
      <c r="K451" s="5">
        <f>student_data[[#This Row],[Total Fee]]-student_data[[#This Row],[Deposit Fee]]</f>
        <v>0</v>
      </c>
      <c r="L451" s="5" t="str">
        <f>IF(student_data[[#This Row],[Outstanding Fee]]=0,"Paid",IF(student_data[[#This Row],[Deposit Fee]]=0,"Unpaid","Partially Paid"))</f>
        <v>Paid</v>
      </c>
      <c r="M451" s="5" t="s">
        <v>13</v>
      </c>
      <c r="N451"/>
      <c r="O451"/>
      <c r="P451"/>
      <c r="Q451"/>
      <c r="R451"/>
      <c r="S451"/>
      <c r="T451"/>
      <c r="U451"/>
      <c r="V451"/>
      <c r="W451"/>
    </row>
    <row r="452" spans="1:23" ht="15.4">
      <c r="A452" s="5">
        <v>293</v>
      </c>
      <c r="B452" s="5">
        <v>18293</v>
      </c>
      <c r="C452" s="5" t="s">
        <v>515</v>
      </c>
      <c r="D452" s="5" t="s">
        <v>101</v>
      </c>
      <c r="E452" s="5" t="s">
        <v>9</v>
      </c>
      <c r="F452" s="5" t="s">
        <v>1363</v>
      </c>
      <c r="G452" s="8">
        <v>45485</v>
      </c>
      <c r="H452" s="8" t="str">
        <f t="shared" si="7"/>
        <v>Jul</v>
      </c>
      <c r="I452" s="5">
        <v>7500</v>
      </c>
      <c r="J452" s="5">
        <v>6900</v>
      </c>
      <c r="K452" s="5">
        <f>student_data[[#This Row],[Total Fee]]-student_data[[#This Row],[Deposit Fee]]</f>
        <v>600</v>
      </c>
      <c r="L452" s="5" t="str">
        <f>IF(student_data[[#This Row],[Outstanding Fee]]=0,"Paid",IF(student_data[[#This Row],[Deposit Fee]]=0,"Unpaid","Partially Paid"))</f>
        <v>Partially Paid</v>
      </c>
      <c r="M452" s="5" t="s">
        <v>38</v>
      </c>
      <c r="N452"/>
      <c r="O452"/>
      <c r="P452"/>
      <c r="Q452"/>
      <c r="R452"/>
      <c r="S452"/>
      <c r="T452"/>
      <c r="U452"/>
      <c r="V452"/>
      <c r="W452"/>
    </row>
    <row r="453" spans="1:23" ht="15.4">
      <c r="A453" s="5">
        <v>294</v>
      </c>
      <c r="B453" s="5">
        <v>18294</v>
      </c>
      <c r="C453" s="5" t="s">
        <v>516</v>
      </c>
      <c r="D453" s="5" t="s">
        <v>517</v>
      </c>
      <c r="E453" s="5" t="s">
        <v>25</v>
      </c>
      <c r="F453" s="5" t="s">
        <v>1363</v>
      </c>
      <c r="G453" s="8">
        <v>45486</v>
      </c>
      <c r="H453" s="8" t="str">
        <f t="shared" si="7"/>
        <v>Jul</v>
      </c>
      <c r="I453" s="5">
        <v>7500</v>
      </c>
      <c r="J453" s="5">
        <v>6900</v>
      </c>
      <c r="K453" s="5">
        <f>student_data[[#This Row],[Total Fee]]-student_data[[#This Row],[Deposit Fee]]</f>
        <v>600</v>
      </c>
      <c r="L453" s="5" t="str">
        <f>IF(student_data[[#This Row],[Outstanding Fee]]=0,"Paid",IF(student_data[[#This Row],[Deposit Fee]]=0,"Unpaid","Partially Paid"))</f>
        <v>Partially Paid</v>
      </c>
      <c r="M453" s="5" t="s">
        <v>78</v>
      </c>
      <c r="N453"/>
      <c r="O453"/>
      <c r="P453"/>
      <c r="Q453"/>
      <c r="R453"/>
      <c r="S453"/>
      <c r="T453"/>
      <c r="U453"/>
      <c r="V453"/>
      <c r="W453"/>
    </row>
    <row r="454" spans="1:23" ht="15.4">
      <c r="A454" s="5">
        <v>295</v>
      </c>
      <c r="B454" s="5">
        <v>18295</v>
      </c>
      <c r="C454" s="5" t="s">
        <v>518</v>
      </c>
      <c r="D454" s="5" t="s">
        <v>519</v>
      </c>
      <c r="E454" s="5" t="s">
        <v>9</v>
      </c>
      <c r="F454" s="5" t="s">
        <v>1363</v>
      </c>
      <c r="G454" s="8">
        <v>45486</v>
      </c>
      <c r="H454" s="8" t="str">
        <f t="shared" si="7"/>
        <v>Jul</v>
      </c>
      <c r="I454" s="5">
        <v>7500</v>
      </c>
      <c r="J454" s="5">
        <v>7500</v>
      </c>
      <c r="K454" s="5">
        <f>student_data[[#This Row],[Total Fee]]-student_data[[#This Row],[Deposit Fee]]</f>
        <v>0</v>
      </c>
      <c r="L454" s="5" t="str">
        <f>IF(student_data[[#This Row],[Outstanding Fee]]=0,"Paid",IF(student_data[[#This Row],[Deposit Fee]]=0,"Unpaid","Partially Paid"))</f>
        <v>Paid</v>
      </c>
      <c r="M454" s="5" t="s">
        <v>16</v>
      </c>
      <c r="N454"/>
      <c r="O454"/>
      <c r="P454"/>
      <c r="Q454"/>
      <c r="R454"/>
      <c r="S454"/>
      <c r="T454"/>
      <c r="U454"/>
      <c r="V454"/>
      <c r="W454"/>
    </row>
    <row r="455" spans="1:23" ht="15.4">
      <c r="A455" s="5">
        <v>296</v>
      </c>
      <c r="B455" s="5">
        <v>18296</v>
      </c>
      <c r="C455" s="5" t="s">
        <v>520</v>
      </c>
      <c r="D455" s="5" t="s">
        <v>521</v>
      </c>
      <c r="E455" s="5" t="s">
        <v>9</v>
      </c>
      <c r="F455" s="5" t="s">
        <v>1363</v>
      </c>
      <c r="G455" s="8">
        <v>45486</v>
      </c>
      <c r="H455" s="8" t="str">
        <f t="shared" si="7"/>
        <v>Jul</v>
      </c>
      <c r="I455" s="5">
        <v>7500</v>
      </c>
      <c r="J455" s="5">
        <v>7500</v>
      </c>
      <c r="K455" s="5">
        <f>student_data[[#This Row],[Total Fee]]-student_data[[#This Row],[Deposit Fee]]</f>
        <v>0</v>
      </c>
      <c r="L455" s="5" t="str">
        <f>IF(student_data[[#This Row],[Outstanding Fee]]=0,"Paid",IF(student_data[[#This Row],[Deposit Fee]]=0,"Unpaid","Partially Paid"))</f>
        <v>Paid</v>
      </c>
      <c r="M455" s="5" t="s">
        <v>19</v>
      </c>
      <c r="N455"/>
      <c r="O455"/>
      <c r="P455"/>
      <c r="Q455"/>
      <c r="R455"/>
      <c r="S455"/>
      <c r="T455"/>
      <c r="U455"/>
      <c r="V455"/>
      <c r="W455"/>
    </row>
    <row r="456" spans="1:23" ht="15.4">
      <c r="A456" s="5">
        <v>297</v>
      </c>
      <c r="B456" s="5">
        <v>18297</v>
      </c>
      <c r="C456" s="5" t="s">
        <v>522</v>
      </c>
      <c r="D456" s="5" t="s">
        <v>523</v>
      </c>
      <c r="E456" s="5" t="s">
        <v>25</v>
      </c>
      <c r="F456" s="5" t="s">
        <v>1363</v>
      </c>
      <c r="G456" s="8">
        <v>45488</v>
      </c>
      <c r="H456" s="8" t="str">
        <f t="shared" si="7"/>
        <v>Jul</v>
      </c>
      <c r="I456" s="5">
        <v>7500</v>
      </c>
      <c r="J456" s="5">
        <v>7500</v>
      </c>
      <c r="K456" s="5">
        <f>student_data[[#This Row],[Total Fee]]-student_data[[#This Row],[Deposit Fee]]</f>
        <v>0</v>
      </c>
      <c r="L456" s="5" t="str">
        <f>IF(student_data[[#This Row],[Outstanding Fee]]=0,"Paid",IF(student_data[[#This Row],[Deposit Fee]]=0,"Unpaid","Partially Paid"))</f>
        <v>Paid</v>
      </c>
      <c r="M456" s="5" t="s">
        <v>47</v>
      </c>
      <c r="N456"/>
      <c r="O456"/>
      <c r="P456"/>
      <c r="Q456"/>
      <c r="R456"/>
      <c r="S456"/>
      <c r="T456"/>
      <c r="U456"/>
      <c r="V456"/>
      <c r="W456"/>
    </row>
    <row r="457" spans="1:23" ht="15.4">
      <c r="A457" s="5">
        <v>298</v>
      </c>
      <c r="B457" s="5">
        <v>18298</v>
      </c>
      <c r="C457" s="5" t="s">
        <v>524</v>
      </c>
      <c r="D457" s="5" t="s">
        <v>525</v>
      </c>
      <c r="E457" s="5" t="s">
        <v>25</v>
      </c>
      <c r="F457" s="5" t="s">
        <v>1363</v>
      </c>
      <c r="G457" s="8">
        <v>45488</v>
      </c>
      <c r="H457" s="8" t="str">
        <f t="shared" si="7"/>
        <v>Jul</v>
      </c>
      <c r="I457" s="5">
        <v>7500</v>
      </c>
      <c r="J457" s="5">
        <v>6900</v>
      </c>
      <c r="K457" s="5">
        <f>student_data[[#This Row],[Total Fee]]-student_data[[#This Row],[Deposit Fee]]</f>
        <v>600</v>
      </c>
      <c r="L457" s="5" t="str">
        <f>IF(student_data[[#This Row],[Outstanding Fee]]=0,"Paid",IF(student_data[[#This Row],[Deposit Fee]]=0,"Unpaid","Partially Paid"))</f>
        <v>Partially Paid</v>
      </c>
      <c r="M457" s="5" t="s">
        <v>75</v>
      </c>
      <c r="N457"/>
      <c r="O457"/>
      <c r="P457"/>
      <c r="Q457"/>
      <c r="R457"/>
      <c r="S457"/>
      <c r="T457"/>
      <c r="U457"/>
      <c r="V457"/>
      <c r="W457"/>
    </row>
    <row r="458" spans="1:23" ht="15.4">
      <c r="A458" s="5">
        <v>299</v>
      </c>
      <c r="B458" s="5">
        <v>18299</v>
      </c>
      <c r="C458" s="5" t="s">
        <v>526</v>
      </c>
      <c r="D458" s="5" t="s">
        <v>527</v>
      </c>
      <c r="E458" s="5" t="s">
        <v>9</v>
      </c>
      <c r="F458" s="5" t="s">
        <v>1363</v>
      </c>
      <c r="G458" s="8">
        <v>45488</v>
      </c>
      <c r="H458" s="8" t="str">
        <f t="shared" si="7"/>
        <v>Jul</v>
      </c>
      <c r="I458" s="5">
        <v>7500</v>
      </c>
      <c r="J458" s="5">
        <v>7500</v>
      </c>
      <c r="K458" s="5">
        <f>student_data[[#This Row],[Total Fee]]-student_data[[#This Row],[Deposit Fee]]</f>
        <v>0</v>
      </c>
      <c r="L458" s="5" t="str">
        <f>IF(student_data[[#This Row],[Outstanding Fee]]=0,"Paid",IF(student_data[[#This Row],[Deposit Fee]]=0,"Unpaid","Partially Paid"))</f>
        <v>Paid</v>
      </c>
      <c r="M458" s="5" t="s">
        <v>89</v>
      </c>
      <c r="N458"/>
      <c r="O458"/>
      <c r="P458"/>
      <c r="Q458"/>
      <c r="R458"/>
      <c r="S458"/>
      <c r="T458"/>
      <c r="U458"/>
      <c r="V458"/>
      <c r="W458"/>
    </row>
    <row r="459" spans="1:23" ht="15.4">
      <c r="A459" s="5">
        <v>300</v>
      </c>
      <c r="B459" s="5">
        <v>18300</v>
      </c>
      <c r="C459" s="5" t="s">
        <v>528</v>
      </c>
      <c r="D459" s="5" t="s">
        <v>529</v>
      </c>
      <c r="E459" s="5" t="s">
        <v>9</v>
      </c>
      <c r="F459" s="5" t="s">
        <v>1363</v>
      </c>
      <c r="G459" s="8">
        <v>45489</v>
      </c>
      <c r="H459" s="8" t="str">
        <f t="shared" si="7"/>
        <v>Jul</v>
      </c>
      <c r="I459" s="5">
        <v>7500</v>
      </c>
      <c r="J459" s="5">
        <v>7500</v>
      </c>
      <c r="K459" s="5">
        <f>student_data[[#This Row],[Total Fee]]-student_data[[#This Row],[Deposit Fee]]</f>
        <v>0</v>
      </c>
      <c r="L459" s="5" t="str">
        <f>IF(student_data[[#This Row],[Outstanding Fee]]=0,"Paid",IF(student_data[[#This Row],[Deposit Fee]]=0,"Unpaid","Partially Paid"))</f>
        <v>Paid</v>
      </c>
      <c r="M459" s="5" t="s">
        <v>29</v>
      </c>
      <c r="N459"/>
      <c r="O459"/>
      <c r="P459"/>
      <c r="Q459"/>
      <c r="R459"/>
      <c r="S459"/>
      <c r="T459"/>
      <c r="U459"/>
      <c r="V459"/>
      <c r="W459"/>
    </row>
    <row r="460" spans="1:23" ht="15.4">
      <c r="A460" s="5">
        <v>301</v>
      </c>
      <c r="B460" s="5">
        <v>18301</v>
      </c>
      <c r="C460" s="5" t="s">
        <v>530</v>
      </c>
      <c r="D460" s="5" t="s">
        <v>149</v>
      </c>
      <c r="E460" s="5" t="s">
        <v>9</v>
      </c>
      <c r="F460" s="5" t="s">
        <v>1363</v>
      </c>
      <c r="G460" s="8">
        <v>45489</v>
      </c>
      <c r="H460" s="8" t="str">
        <f t="shared" si="7"/>
        <v>Jul</v>
      </c>
      <c r="I460" s="5">
        <v>7500</v>
      </c>
      <c r="J460" s="5">
        <v>7100</v>
      </c>
      <c r="K460" s="5">
        <f>student_data[[#This Row],[Total Fee]]-student_data[[#This Row],[Deposit Fee]]</f>
        <v>400</v>
      </c>
      <c r="L460" s="5" t="str">
        <f>IF(student_data[[#This Row],[Outstanding Fee]]=0,"Paid",IF(student_data[[#This Row],[Deposit Fee]]=0,"Unpaid","Partially Paid"))</f>
        <v>Partially Paid</v>
      </c>
      <c r="M460" s="5" t="s">
        <v>75</v>
      </c>
      <c r="N460"/>
      <c r="O460"/>
      <c r="P460"/>
      <c r="Q460"/>
      <c r="R460"/>
      <c r="S460"/>
      <c r="T460"/>
      <c r="U460"/>
      <c r="V460"/>
      <c r="W460"/>
    </row>
    <row r="461" spans="1:23" ht="15.4">
      <c r="A461" s="5">
        <v>302</v>
      </c>
      <c r="B461" s="5">
        <v>18302</v>
      </c>
      <c r="C461" s="5" t="s">
        <v>531</v>
      </c>
      <c r="D461" s="5" t="s">
        <v>532</v>
      </c>
      <c r="E461" s="5" t="s">
        <v>9</v>
      </c>
      <c r="F461" s="5" t="s">
        <v>1363</v>
      </c>
      <c r="G461" s="8">
        <v>45489</v>
      </c>
      <c r="H461" s="8" t="str">
        <f t="shared" si="7"/>
        <v>Jul</v>
      </c>
      <c r="I461" s="5">
        <v>7500</v>
      </c>
      <c r="J461" s="5">
        <v>7100</v>
      </c>
      <c r="K461" s="5">
        <f>student_data[[#This Row],[Total Fee]]-student_data[[#This Row],[Deposit Fee]]</f>
        <v>400</v>
      </c>
      <c r="L461" s="5" t="str">
        <f>IF(student_data[[#This Row],[Outstanding Fee]]=0,"Paid",IF(student_data[[#This Row],[Deposit Fee]]=0,"Unpaid","Partially Paid"))</f>
        <v>Partially Paid</v>
      </c>
      <c r="M461" s="5" t="s">
        <v>75</v>
      </c>
      <c r="N461"/>
      <c r="O461"/>
      <c r="P461"/>
      <c r="Q461"/>
      <c r="R461"/>
      <c r="S461"/>
      <c r="T461"/>
      <c r="U461"/>
      <c r="V461"/>
      <c r="W461"/>
    </row>
    <row r="462" spans="1:23" ht="15.4">
      <c r="A462" s="5">
        <v>303</v>
      </c>
      <c r="B462" s="5">
        <v>18303</v>
      </c>
      <c r="C462" s="5" t="s">
        <v>533</v>
      </c>
      <c r="D462" s="5" t="s">
        <v>534</v>
      </c>
      <c r="E462" s="5" t="s">
        <v>9</v>
      </c>
      <c r="F462" s="5" t="s">
        <v>1363</v>
      </c>
      <c r="G462" s="8">
        <v>45490</v>
      </c>
      <c r="H462" s="8" t="str">
        <f t="shared" si="7"/>
        <v>Jul</v>
      </c>
      <c r="I462" s="5">
        <v>7500</v>
      </c>
      <c r="J462" s="5">
        <v>6900</v>
      </c>
      <c r="K462" s="5">
        <f>student_data[[#This Row],[Total Fee]]-student_data[[#This Row],[Deposit Fee]]</f>
        <v>600</v>
      </c>
      <c r="L462" s="5" t="str">
        <f>IF(student_data[[#This Row],[Outstanding Fee]]=0,"Paid",IF(student_data[[#This Row],[Deposit Fee]]=0,"Unpaid","Partially Paid"))</f>
        <v>Partially Paid</v>
      </c>
      <c r="M462" s="5" t="s">
        <v>19</v>
      </c>
      <c r="N462"/>
      <c r="O462"/>
      <c r="P462"/>
      <c r="Q462"/>
      <c r="R462"/>
      <c r="S462"/>
      <c r="T462"/>
      <c r="U462"/>
      <c r="V462"/>
      <c r="W462"/>
    </row>
    <row r="463" spans="1:23" ht="15.4">
      <c r="A463" s="5">
        <v>304</v>
      </c>
      <c r="B463" s="5">
        <v>18304</v>
      </c>
      <c r="C463" s="5" t="s">
        <v>535</v>
      </c>
      <c r="D463" s="5" t="s">
        <v>536</v>
      </c>
      <c r="E463" s="5" t="s">
        <v>25</v>
      </c>
      <c r="F463" s="5" t="s">
        <v>1363</v>
      </c>
      <c r="G463" s="8">
        <v>45490</v>
      </c>
      <c r="H463" s="8" t="str">
        <f t="shared" si="7"/>
        <v>Jul</v>
      </c>
      <c r="I463" s="5">
        <v>7500</v>
      </c>
      <c r="J463" s="5">
        <v>6900</v>
      </c>
      <c r="K463" s="5">
        <f>student_data[[#This Row],[Total Fee]]-student_data[[#This Row],[Deposit Fee]]</f>
        <v>600</v>
      </c>
      <c r="L463" s="5" t="str">
        <f>IF(student_data[[#This Row],[Outstanding Fee]]=0,"Paid",IF(student_data[[#This Row],[Deposit Fee]]=0,"Unpaid","Partially Paid"))</f>
        <v>Partially Paid</v>
      </c>
      <c r="M463" s="5" t="s">
        <v>47</v>
      </c>
      <c r="N463"/>
      <c r="O463"/>
      <c r="P463"/>
      <c r="Q463"/>
      <c r="R463"/>
      <c r="S463"/>
      <c r="T463"/>
      <c r="U463"/>
      <c r="V463"/>
      <c r="W463"/>
    </row>
    <row r="464" spans="1:23" ht="15.4">
      <c r="A464" s="5">
        <v>305</v>
      </c>
      <c r="B464" s="5">
        <v>18305</v>
      </c>
      <c r="C464" s="5" t="s">
        <v>537</v>
      </c>
      <c r="D464" s="5" t="s">
        <v>51</v>
      </c>
      <c r="E464" s="5" t="s">
        <v>25</v>
      </c>
      <c r="F464" s="5" t="s">
        <v>1363</v>
      </c>
      <c r="G464" s="8">
        <v>45490</v>
      </c>
      <c r="H464" s="8" t="str">
        <f t="shared" si="7"/>
        <v>Jul</v>
      </c>
      <c r="I464" s="5">
        <v>7500</v>
      </c>
      <c r="J464" s="5">
        <v>7500</v>
      </c>
      <c r="K464" s="5">
        <f>student_data[[#This Row],[Total Fee]]-student_data[[#This Row],[Deposit Fee]]</f>
        <v>0</v>
      </c>
      <c r="L464" s="5" t="str">
        <f>IF(student_data[[#This Row],[Outstanding Fee]]=0,"Paid",IF(student_data[[#This Row],[Deposit Fee]]=0,"Unpaid","Partially Paid"))</f>
        <v>Paid</v>
      </c>
      <c r="M464" s="5" t="s">
        <v>19</v>
      </c>
      <c r="N464"/>
      <c r="O464"/>
      <c r="P464"/>
      <c r="Q464"/>
      <c r="R464"/>
      <c r="S464"/>
      <c r="T464"/>
      <c r="U464"/>
      <c r="V464"/>
      <c r="W464"/>
    </row>
    <row r="465" spans="1:23" ht="15.4">
      <c r="A465" s="5">
        <v>306</v>
      </c>
      <c r="B465" s="5">
        <v>18306</v>
      </c>
      <c r="C465" s="5" t="s">
        <v>538</v>
      </c>
      <c r="D465" s="5" t="s">
        <v>117</v>
      </c>
      <c r="E465" s="5" t="s">
        <v>9</v>
      </c>
      <c r="F465" s="5" t="s">
        <v>1363</v>
      </c>
      <c r="G465" s="8">
        <v>45491</v>
      </c>
      <c r="H465" s="8" t="str">
        <f t="shared" si="7"/>
        <v>Jul</v>
      </c>
      <c r="I465" s="5">
        <v>7500</v>
      </c>
      <c r="J465" s="5">
        <v>7500</v>
      </c>
      <c r="K465" s="5">
        <f>student_data[[#This Row],[Total Fee]]-student_data[[#This Row],[Deposit Fee]]</f>
        <v>0</v>
      </c>
      <c r="L465" s="5" t="str">
        <f>IF(student_data[[#This Row],[Outstanding Fee]]=0,"Paid",IF(student_data[[#This Row],[Deposit Fee]]=0,"Unpaid","Partially Paid"))</f>
        <v>Paid</v>
      </c>
      <c r="M465" s="5" t="s">
        <v>47</v>
      </c>
      <c r="N465"/>
      <c r="O465"/>
      <c r="P465"/>
      <c r="Q465"/>
      <c r="R465"/>
      <c r="S465"/>
      <c r="T465"/>
      <c r="U465"/>
      <c r="V465"/>
      <c r="W465"/>
    </row>
    <row r="466" spans="1:23" ht="15.4">
      <c r="A466" s="5">
        <v>307</v>
      </c>
      <c r="B466" s="5">
        <v>18307</v>
      </c>
      <c r="C466" s="5" t="s">
        <v>539</v>
      </c>
      <c r="D466" s="5" t="s">
        <v>540</v>
      </c>
      <c r="E466" s="5" t="s">
        <v>25</v>
      </c>
      <c r="F466" s="5" t="s">
        <v>1363</v>
      </c>
      <c r="G466" s="8">
        <v>45491</v>
      </c>
      <c r="H466" s="8" t="str">
        <f t="shared" si="7"/>
        <v>Jul</v>
      </c>
      <c r="I466" s="5">
        <v>7500</v>
      </c>
      <c r="J466" s="5">
        <v>7500</v>
      </c>
      <c r="K466" s="5">
        <f>student_data[[#This Row],[Total Fee]]-student_data[[#This Row],[Deposit Fee]]</f>
        <v>0</v>
      </c>
      <c r="L466" s="5" t="str">
        <f>IF(student_data[[#This Row],[Outstanding Fee]]=0,"Paid",IF(student_data[[#This Row],[Deposit Fee]]=0,"Unpaid","Partially Paid"))</f>
        <v>Paid</v>
      </c>
      <c r="M466" s="5" t="s">
        <v>75</v>
      </c>
      <c r="N466"/>
      <c r="O466"/>
      <c r="P466"/>
      <c r="Q466"/>
      <c r="R466"/>
      <c r="S466"/>
      <c r="T466"/>
      <c r="U466"/>
      <c r="V466"/>
      <c r="W466"/>
    </row>
    <row r="467" spans="1:23" ht="15.4">
      <c r="A467" s="5">
        <v>308</v>
      </c>
      <c r="B467" s="5">
        <v>18308</v>
      </c>
      <c r="C467" s="5" t="s">
        <v>541</v>
      </c>
      <c r="D467" s="5" t="s">
        <v>122</v>
      </c>
      <c r="E467" s="5" t="s">
        <v>9</v>
      </c>
      <c r="F467" s="5" t="s">
        <v>1363</v>
      </c>
      <c r="G467" s="8">
        <v>45491</v>
      </c>
      <c r="H467" s="8" t="str">
        <f t="shared" si="7"/>
        <v>Jul</v>
      </c>
      <c r="I467" s="5">
        <v>7500</v>
      </c>
      <c r="J467" s="5">
        <v>6900</v>
      </c>
      <c r="K467" s="5">
        <f>student_data[[#This Row],[Total Fee]]-student_data[[#This Row],[Deposit Fee]]</f>
        <v>600</v>
      </c>
      <c r="L467" s="5" t="str">
        <f>IF(student_data[[#This Row],[Outstanding Fee]]=0,"Paid",IF(student_data[[#This Row],[Deposit Fee]]=0,"Unpaid","Partially Paid"))</f>
        <v>Partially Paid</v>
      </c>
      <c r="M467" s="5" t="s">
        <v>89</v>
      </c>
      <c r="N467"/>
      <c r="O467"/>
      <c r="P467"/>
      <c r="Q467"/>
      <c r="R467"/>
      <c r="S467"/>
      <c r="T467"/>
      <c r="U467"/>
      <c r="V467"/>
      <c r="W467"/>
    </row>
    <row r="468" spans="1:23" ht="15.4">
      <c r="A468" s="5">
        <v>309</v>
      </c>
      <c r="B468" s="5">
        <v>18309</v>
      </c>
      <c r="C468" s="5" t="s">
        <v>501</v>
      </c>
      <c r="D468" s="5" t="s">
        <v>425</v>
      </c>
      <c r="E468" s="5" t="s">
        <v>9</v>
      </c>
      <c r="F468" s="5" t="s">
        <v>1363</v>
      </c>
      <c r="G468" s="8">
        <v>45492</v>
      </c>
      <c r="H468" s="8" t="str">
        <f t="shared" si="7"/>
        <v>Jul</v>
      </c>
      <c r="I468" s="5">
        <v>7500</v>
      </c>
      <c r="J468" s="5">
        <v>6900</v>
      </c>
      <c r="K468" s="5">
        <f>student_data[[#This Row],[Total Fee]]-student_data[[#This Row],[Deposit Fee]]</f>
        <v>600</v>
      </c>
      <c r="L468" s="5" t="str">
        <f>IF(student_data[[#This Row],[Outstanding Fee]]=0,"Paid",IF(student_data[[#This Row],[Deposit Fee]]=0,"Unpaid","Partially Paid"))</f>
        <v>Partially Paid</v>
      </c>
      <c r="M468" s="5" t="s">
        <v>29</v>
      </c>
      <c r="N468"/>
      <c r="O468"/>
      <c r="P468"/>
      <c r="Q468"/>
      <c r="R468"/>
      <c r="S468"/>
      <c r="T468"/>
      <c r="U468"/>
      <c r="V468"/>
      <c r="W468"/>
    </row>
    <row r="469" spans="1:23" ht="15.4">
      <c r="A469" s="5">
        <v>310</v>
      </c>
      <c r="B469" s="5">
        <v>18310</v>
      </c>
      <c r="C469" s="5" t="s">
        <v>542</v>
      </c>
      <c r="D469" s="5" t="s">
        <v>543</v>
      </c>
      <c r="E469" s="5" t="s">
        <v>9</v>
      </c>
      <c r="F469" s="5" t="s">
        <v>1363</v>
      </c>
      <c r="G469" s="8">
        <v>45492</v>
      </c>
      <c r="H469" s="8" t="str">
        <f t="shared" si="7"/>
        <v>Jul</v>
      </c>
      <c r="I469" s="5">
        <v>7500</v>
      </c>
      <c r="J469" s="5">
        <v>7500</v>
      </c>
      <c r="K469" s="5">
        <f>student_data[[#This Row],[Total Fee]]-student_data[[#This Row],[Deposit Fee]]</f>
        <v>0</v>
      </c>
      <c r="L469" s="5" t="str">
        <f>IF(student_data[[#This Row],[Outstanding Fee]]=0,"Paid",IF(student_data[[#This Row],[Deposit Fee]]=0,"Unpaid","Partially Paid"))</f>
        <v>Paid</v>
      </c>
      <c r="M469" s="5" t="s">
        <v>10</v>
      </c>
      <c r="N469"/>
      <c r="O469"/>
      <c r="P469"/>
      <c r="Q469"/>
      <c r="R469"/>
      <c r="S469"/>
      <c r="T469"/>
      <c r="U469"/>
      <c r="V469"/>
      <c r="W469"/>
    </row>
    <row r="470" spans="1:23" ht="15.4">
      <c r="A470" s="5">
        <v>311</v>
      </c>
      <c r="B470" s="5">
        <v>18311</v>
      </c>
      <c r="C470" s="5" t="s">
        <v>544</v>
      </c>
      <c r="D470" s="5" t="s">
        <v>545</v>
      </c>
      <c r="E470" s="5" t="s">
        <v>9</v>
      </c>
      <c r="F470" s="5" t="s">
        <v>1363</v>
      </c>
      <c r="G470" s="8">
        <v>45492</v>
      </c>
      <c r="H470" s="8" t="str">
        <f t="shared" si="7"/>
        <v>Jul</v>
      </c>
      <c r="I470" s="5">
        <v>7500</v>
      </c>
      <c r="J470" s="5">
        <v>7500</v>
      </c>
      <c r="K470" s="5">
        <f>student_data[[#This Row],[Total Fee]]-student_data[[#This Row],[Deposit Fee]]</f>
        <v>0</v>
      </c>
      <c r="L470" s="5" t="str">
        <f>IF(student_data[[#This Row],[Outstanding Fee]]=0,"Paid",IF(student_data[[#This Row],[Deposit Fee]]=0,"Unpaid","Partially Paid"))</f>
        <v>Paid</v>
      </c>
      <c r="M470" s="5" t="s">
        <v>13</v>
      </c>
      <c r="N470"/>
      <c r="O470"/>
      <c r="P470"/>
      <c r="Q470"/>
      <c r="R470"/>
      <c r="S470"/>
      <c r="T470"/>
      <c r="U470"/>
      <c r="V470"/>
      <c r="W470"/>
    </row>
    <row r="471" spans="1:23" ht="15.4">
      <c r="A471" s="5">
        <v>312</v>
      </c>
      <c r="B471" s="5">
        <v>18312</v>
      </c>
      <c r="C471" s="5" t="s">
        <v>546</v>
      </c>
      <c r="D471" s="5" t="s">
        <v>547</v>
      </c>
      <c r="E471" s="5" t="s">
        <v>25</v>
      </c>
      <c r="F471" s="5" t="s">
        <v>1363</v>
      </c>
      <c r="G471" s="8">
        <v>45493</v>
      </c>
      <c r="H471" s="8" t="str">
        <f t="shared" si="7"/>
        <v>Jul</v>
      </c>
      <c r="I471" s="5">
        <v>7500</v>
      </c>
      <c r="J471" s="5">
        <v>7500</v>
      </c>
      <c r="K471" s="5">
        <f>student_data[[#This Row],[Total Fee]]-student_data[[#This Row],[Deposit Fee]]</f>
        <v>0</v>
      </c>
      <c r="L471" s="5" t="str">
        <f>IF(student_data[[#This Row],[Outstanding Fee]]=0,"Paid",IF(student_data[[#This Row],[Deposit Fee]]=0,"Unpaid","Partially Paid"))</f>
        <v>Paid</v>
      </c>
      <c r="M471" s="5" t="s">
        <v>38</v>
      </c>
      <c r="N471"/>
      <c r="O471"/>
      <c r="P471"/>
      <c r="Q471"/>
      <c r="R471"/>
      <c r="S471"/>
      <c r="T471"/>
      <c r="U471"/>
      <c r="V471"/>
      <c r="W471"/>
    </row>
    <row r="472" spans="1:23" ht="15.4">
      <c r="A472" s="5">
        <v>313</v>
      </c>
      <c r="B472" s="5">
        <v>18313</v>
      </c>
      <c r="C472" s="5" t="s">
        <v>548</v>
      </c>
      <c r="D472" s="5" t="s">
        <v>549</v>
      </c>
      <c r="E472" s="5" t="s">
        <v>25</v>
      </c>
      <c r="F472" s="5" t="s">
        <v>1363</v>
      </c>
      <c r="G472" s="8">
        <v>45493</v>
      </c>
      <c r="H472" s="8" t="str">
        <f t="shared" si="7"/>
        <v>Jul</v>
      </c>
      <c r="I472" s="5">
        <v>7500</v>
      </c>
      <c r="J472" s="5">
        <v>7100</v>
      </c>
      <c r="K472" s="5">
        <f>student_data[[#This Row],[Total Fee]]-student_data[[#This Row],[Deposit Fee]]</f>
        <v>400</v>
      </c>
      <c r="L472" s="5" t="str">
        <f>IF(student_data[[#This Row],[Outstanding Fee]]=0,"Paid",IF(student_data[[#This Row],[Deposit Fee]]=0,"Unpaid","Partially Paid"))</f>
        <v>Partially Paid</v>
      </c>
      <c r="M472" s="5" t="s">
        <v>78</v>
      </c>
      <c r="N472"/>
      <c r="O472"/>
      <c r="P472"/>
      <c r="Q472"/>
      <c r="R472"/>
      <c r="S472"/>
      <c r="T472"/>
      <c r="U472"/>
      <c r="V472"/>
      <c r="W472"/>
    </row>
    <row r="473" spans="1:23" ht="15.4">
      <c r="A473" s="5">
        <v>314</v>
      </c>
      <c r="B473" s="5">
        <v>18314</v>
      </c>
      <c r="C473" s="5" t="s">
        <v>550</v>
      </c>
      <c r="D473" s="5" t="s">
        <v>551</v>
      </c>
      <c r="E473" s="5" t="s">
        <v>25</v>
      </c>
      <c r="F473" s="5" t="s">
        <v>1363</v>
      </c>
      <c r="G473" s="8">
        <v>45493</v>
      </c>
      <c r="H473" s="8" t="str">
        <f t="shared" si="7"/>
        <v>Jul</v>
      </c>
      <c r="I473" s="5">
        <v>7500</v>
      </c>
      <c r="J473" s="5">
        <v>7100</v>
      </c>
      <c r="K473" s="5">
        <f>student_data[[#This Row],[Total Fee]]-student_data[[#This Row],[Deposit Fee]]</f>
        <v>400</v>
      </c>
      <c r="L473" s="5" t="str">
        <f>IF(student_data[[#This Row],[Outstanding Fee]]=0,"Paid",IF(student_data[[#This Row],[Deposit Fee]]=0,"Unpaid","Partially Paid"))</f>
        <v>Partially Paid</v>
      </c>
      <c r="M473" s="5" t="s">
        <v>16</v>
      </c>
      <c r="N473"/>
      <c r="O473"/>
      <c r="P473"/>
      <c r="Q473"/>
      <c r="R473"/>
      <c r="S473"/>
      <c r="T473"/>
      <c r="U473"/>
      <c r="V473"/>
      <c r="W473"/>
    </row>
    <row r="474" spans="1:23" ht="15.4">
      <c r="A474" s="5">
        <v>315</v>
      </c>
      <c r="B474" s="5">
        <v>18315</v>
      </c>
      <c r="C474" s="5" t="s">
        <v>552</v>
      </c>
      <c r="D474" s="5" t="s">
        <v>553</v>
      </c>
      <c r="E474" s="5" t="s">
        <v>9</v>
      </c>
      <c r="F474" s="5" t="s">
        <v>1363</v>
      </c>
      <c r="G474" s="8">
        <v>45495</v>
      </c>
      <c r="H474" s="8" t="str">
        <f t="shared" si="7"/>
        <v>Jul</v>
      </c>
      <c r="I474" s="5">
        <v>7500</v>
      </c>
      <c r="J474" s="5">
        <v>6900</v>
      </c>
      <c r="K474" s="5">
        <f>student_data[[#This Row],[Total Fee]]-student_data[[#This Row],[Deposit Fee]]</f>
        <v>600</v>
      </c>
      <c r="L474" s="5" t="str">
        <f>IF(student_data[[#This Row],[Outstanding Fee]]=0,"Paid",IF(student_data[[#This Row],[Deposit Fee]]=0,"Unpaid","Partially Paid"))</f>
        <v>Partially Paid</v>
      </c>
      <c r="M474" s="5" t="s">
        <v>19</v>
      </c>
      <c r="N474"/>
      <c r="O474"/>
      <c r="P474"/>
      <c r="Q474"/>
      <c r="R474"/>
      <c r="S474"/>
      <c r="T474"/>
      <c r="U474"/>
      <c r="V474"/>
      <c r="W474"/>
    </row>
    <row r="475" spans="1:23" ht="15.4">
      <c r="A475" s="5">
        <v>316</v>
      </c>
      <c r="B475" s="5">
        <v>18316</v>
      </c>
      <c r="C475" s="5" t="s">
        <v>554</v>
      </c>
      <c r="D475" s="5" t="s">
        <v>555</v>
      </c>
      <c r="E475" s="5" t="s">
        <v>9</v>
      </c>
      <c r="F475" s="5" t="s">
        <v>1363</v>
      </c>
      <c r="G475" s="8">
        <v>45495</v>
      </c>
      <c r="H475" s="8" t="str">
        <f t="shared" si="7"/>
        <v>Jul</v>
      </c>
      <c r="I475" s="5">
        <v>7500</v>
      </c>
      <c r="J475" s="5">
        <v>7500</v>
      </c>
      <c r="K475" s="5">
        <f>student_data[[#This Row],[Total Fee]]-student_data[[#This Row],[Deposit Fee]]</f>
        <v>0</v>
      </c>
      <c r="L475" s="5" t="str">
        <f>IF(student_data[[#This Row],[Outstanding Fee]]=0,"Paid",IF(student_data[[#This Row],[Deposit Fee]]=0,"Unpaid","Partially Paid"))</f>
        <v>Paid</v>
      </c>
      <c r="M475" s="5" t="s">
        <v>47</v>
      </c>
      <c r="N475"/>
      <c r="O475"/>
      <c r="P475"/>
      <c r="Q475"/>
      <c r="R475"/>
      <c r="S475"/>
      <c r="T475"/>
      <c r="U475"/>
      <c r="V475"/>
      <c r="W475"/>
    </row>
    <row r="476" spans="1:23" ht="15.4">
      <c r="A476" s="5">
        <v>317</v>
      </c>
      <c r="B476" s="5">
        <v>18317</v>
      </c>
      <c r="C476" s="5" t="s">
        <v>556</v>
      </c>
      <c r="D476" s="5" t="s">
        <v>103</v>
      </c>
      <c r="E476" s="5" t="s">
        <v>9</v>
      </c>
      <c r="F476" s="5" t="s">
        <v>1363</v>
      </c>
      <c r="G476" s="8">
        <v>45495</v>
      </c>
      <c r="H476" s="8" t="str">
        <f t="shared" si="7"/>
        <v>Jul</v>
      </c>
      <c r="I476" s="5">
        <v>7500</v>
      </c>
      <c r="J476" s="5">
        <v>6900</v>
      </c>
      <c r="K476" s="5">
        <f>student_data[[#This Row],[Total Fee]]-student_data[[#This Row],[Deposit Fee]]</f>
        <v>600</v>
      </c>
      <c r="L476" s="5" t="str">
        <f>IF(student_data[[#This Row],[Outstanding Fee]]=0,"Paid",IF(student_data[[#This Row],[Deposit Fee]]=0,"Unpaid","Partially Paid"))</f>
        <v>Partially Paid</v>
      </c>
      <c r="M476" s="5" t="s">
        <v>75</v>
      </c>
      <c r="N476"/>
      <c r="O476"/>
      <c r="P476"/>
      <c r="Q476"/>
      <c r="R476"/>
      <c r="S476"/>
      <c r="T476"/>
      <c r="U476"/>
      <c r="V476"/>
      <c r="W476"/>
    </row>
    <row r="477" spans="1:23" ht="15.4">
      <c r="A477" s="5">
        <v>318</v>
      </c>
      <c r="B477" s="5">
        <v>18318</v>
      </c>
      <c r="C477" s="5" t="s">
        <v>557</v>
      </c>
      <c r="D477" s="5" t="s">
        <v>558</v>
      </c>
      <c r="E477" s="5" t="s">
        <v>9</v>
      </c>
      <c r="F477" s="5" t="s">
        <v>1363</v>
      </c>
      <c r="G477" s="8">
        <v>45496</v>
      </c>
      <c r="H477" s="8" t="str">
        <f t="shared" si="7"/>
        <v>Jul</v>
      </c>
      <c r="I477" s="5">
        <v>7500</v>
      </c>
      <c r="J477" s="5">
        <v>7500</v>
      </c>
      <c r="K477" s="5">
        <f>student_data[[#This Row],[Total Fee]]-student_data[[#This Row],[Deposit Fee]]</f>
        <v>0</v>
      </c>
      <c r="L477" s="5" t="str">
        <f>IF(student_data[[#This Row],[Outstanding Fee]]=0,"Paid",IF(student_data[[#This Row],[Deposit Fee]]=0,"Unpaid","Partially Paid"))</f>
        <v>Paid</v>
      </c>
      <c r="M477" s="5" t="s">
        <v>89</v>
      </c>
      <c r="N477"/>
      <c r="O477"/>
      <c r="P477"/>
      <c r="Q477"/>
      <c r="R477"/>
      <c r="S477"/>
      <c r="T477"/>
      <c r="U477"/>
      <c r="V477"/>
      <c r="W477"/>
    </row>
    <row r="478" spans="1:23" ht="15.4">
      <c r="A478" s="5">
        <v>319</v>
      </c>
      <c r="B478" s="5">
        <v>18319</v>
      </c>
      <c r="C478" s="5" t="s">
        <v>559</v>
      </c>
      <c r="D478" s="5" t="s">
        <v>560</v>
      </c>
      <c r="E478" s="5" t="s">
        <v>25</v>
      </c>
      <c r="F478" s="5" t="s">
        <v>1363</v>
      </c>
      <c r="G478" s="8">
        <v>45496</v>
      </c>
      <c r="H478" s="8" t="str">
        <f t="shared" si="7"/>
        <v>Jul</v>
      </c>
      <c r="I478" s="5">
        <v>7500</v>
      </c>
      <c r="J478" s="5">
        <v>6900</v>
      </c>
      <c r="K478" s="5">
        <f>student_data[[#This Row],[Total Fee]]-student_data[[#This Row],[Deposit Fee]]</f>
        <v>600</v>
      </c>
      <c r="L478" s="5" t="str">
        <f>IF(student_data[[#This Row],[Outstanding Fee]]=0,"Paid",IF(student_data[[#This Row],[Deposit Fee]]=0,"Unpaid","Partially Paid"))</f>
        <v>Partially Paid</v>
      </c>
      <c r="M478" s="5" t="s">
        <v>29</v>
      </c>
      <c r="N478"/>
      <c r="O478"/>
      <c r="P478"/>
      <c r="Q478"/>
      <c r="R478"/>
      <c r="S478"/>
      <c r="T478"/>
      <c r="U478"/>
      <c r="V478"/>
      <c r="W478"/>
    </row>
    <row r="479" spans="1:23" ht="15.4">
      <c r="A479" s="5">
        <v>320</v>
      </c>
      <c r="B479" s="5">
        <v>18320</v>
      </c>
      <c r="C479" s="5" t="s">
        <v>561</v>
      </c>
      <c r="D479" s="5" t="s">
        <v>253</v>
      </c>
      <c r="E479" s="5" t="s">
        <v>9</v>
      </c>
      <c r="F479" s="5" t="s">
        <v>1363</v>
      </c>
      <c r="G479" s="8">
        <v>45496</v>
      </c>
      <c r="H479" s="8" t="str">
        <f t="shared" si="7"/>
        <v>Jul</v>
      </c>
      <c r="I479" s="5">
        <v>7500</v>
      </c>
      <c r="J479" s="5">
        <v>7500</v>
      </c>
      <c r="K479" s="5">
        <f>student_data[[#This Row],[Total Fee]]-student_data[[#This Row],[Deposit Fee]]</f>
        <v>0</v>
      </c>
      <c r="L479" s="5" t="str">
        <f>IF(student_data[[#This Row],[Outstanding Fee]]=0,"Paid",IF(student_data[[#This Row],[Deposit Fee]]=0,"Unpaid","Partially Paid"))</f>
        <v>Paid</v>
      </c>
      <c r="M479" s="5" t="s">
        <v>10</v>
      </c>
      <c r="N479"/>
      <c r="O479"/>
      <c r="P479"/>
      <c r="Q479"/>
      <c r="R479"/>
      <c r="S479"/>
      <c r="T479"/>
      <c r="U479"/>
      <c r="V479"/>
      <c r="W479"/>
    </row>
    <row r="480" spans="1:23" ht="15.4">
      <c r="A480" s="5">
        <v>321</v>
      </c>
      <c r="B480" s="5">
        <v>18321</v>
      </c>
      <c r="C480" s="5" t="s">
        <v>410</v>
      </c>
      <c r="D480" s="5" t="s">
        <v>453</v>
      </c>
      <c r="E480" s="5" t="s">
        <v>25</v>
      </c>
      <c r="F480" s="5" t="s">
        <v>1363</v>
      </c>
      <c r="G480" s="8">
        <v>45497</v>
      </c>
      <c r="H480" s="8" t="str">
        <f t="shared" si="7"/>
        <v>Jul</v>
      </c>
      <c r="I480" s="5">
        <v>7500</v>
      </c>
      <c r="J480" s="5">
        <v>6900</v>
      </c>
      <c r="K480" s="5">
        <f>student_data[[#This Row],[Total Fee]]-student_data[[#This Row],[Deposit Fee]]</f>
        <v>600</v>
      </c>
      <c r="L480" s="5" t="str">
        <f>IF(student_data[[#This Row],[Outstanding Fee]]=0,"Paid",IF(student_data[[#This Row],[Deposit Fee]]=0,"Unpaid","Partially Paid"))</f>
        <v>Partially Paid</v>
      </c>
      <c r="M480" s="5" t="s">
        <v>13</v>
      </c>
      <c r="N480"/>
      <c r="O480"/>
      <c r="P480"/>
      <c r="Q480"/>
      <c r="R480"/>
      <c r="S480"/>
      <c r="T480"/>
      <c r="U480"/>
      <c r="V480"/>
      <c r="W480"/>
    </row>
    <row r="481" spans="1:23" ht="15.4">
      <c r="A481" s="5">
        <v>322</v>
      </c>
      <c r="B481" s="5">
        <v>18322</v>
      </c>
      <c r="C481" s="5" t="s">
        <v>562</v>
      </c>
      <c r="D481" s="5" t="s">
        <v>563</v>
      </c>
      <c r="E481" s="5" t="s">
        <v>25</v>
      </c>
      <c r="F481" s="5" t="s">
        <v>1363</v>
      </c>
      <c r="G481" s="8">
        <v>45497</v>
      </c>
      <c r="H481" s="8" t="str">
        <f t="shared" si="7"/>
        <v>Jul</v>
      </c>
      <c r="I481" s="5">
        <v>7500</v>
      </c>
      <c r="J481" s="5">
        <v>7500</v>
      </c>
      <c r="K481" s="5">
        <f>student_data[[#This Row],[Total Fee]]-student_data[[#This Row],[Deposit Fee]]</f>
        <v>0</v>
      </c>
      <c r="L481" s="5" t="str">
        <f>IF(student_data[[#This Row],[Outstanding Fee]]=0,"Paid",IF(student_data[[#This Row],[Deposit Fee]]=0,"Unpaid","Partially Paid"))</f>
        <v>Paid</v>
      </c>
      <c r="M481" s="5" t="s">
        <v>38</v>
      </c>
      <c r="N481"/>
      <c r="O481"/>
      <c r="P481"/>
      <c r="Q481"/>
      <c r="R481"/>
      <c r="S481"/>
      <c r="T481"/>
      <c r="U481"/>
      <c r="V481"/>
      <c r="W481"/>
    </row>
    <row r="482" spans="1:23" ht="15.4">
      <c r="A482" s="5">
        <v>323</v>
      </c>
      <c r="B482" s="5">
        <v>18323</v>
      </c>
      <c r="C482" s="5" t="s">
        <v>564</v>
      </c>
      <c r="D482" s="5" t="s">
        <v>565</v>
      </c>
      <c r="E482" s="5" t="s">
        <v>9</v>
      </c>
      <c r="F482" s="5" t="s">
        <v>1363</v>
      </c>
      <c r="G482" s="8">
        <v>45497</v>
      </c>
      <c r="H482" s="8" t="str">
        <f t="shared" si="7"/>
        <v>Jul</v>
      </c>
      <c r="I482" s="5">
        <v>7500</v>
      </c>
      <c r="J482" s="5">
        <v>5600</v>
      </c>
      <c r="K482" s="5">
        <f>student_data[[#This Row],[Total Fee]]-student_data[[#This Row],[Deposit Fee]]</f>
        <v>1900</v>
      </c>
      <c r="L482" s="5" t="str">
        <f>IF(student_data[[#This Row],[Outstanding Fee]]=0,"Paid",IF(student_data[[#This Row],[Deposit Fee]]=0,"Unpaid","Partially Paid"))</f>
        <v>Partially Paid</v>
      </c>
      <c r="M482" s="5" t="s">
        <v>78</v>
      </c>
      <c r="N482"/>
      <c r="O482"/>
      <c r="P482"/>
      <c r="Q482"/>
      <c r="R482"/>
      <c r="S482"/>
      <c r="T482"/>
      <c r="U482"/>
      <c r="V482"/>
      <c r="W482"/>
    </row>
    <row r="483" spans="1:23" ht="15.4">
      <c r="A483" s="5">
        <v>324</v>
      </c>
      <c r="B483" s="5">
        <v>18324</v>
      </c>
      <c r="C483" s="5" t="s">
        <v>566</v>
      </c>
      <c r="D483" s="5" t="s">
        <v>253</v>
      </c>
      <c r="E483" s="5" t="s">
        <v>9</v>
      </c>
      <c r="F483" s="5" t="s">
        <v>1363</v>
      </c>
      <c r="G483" s="8">
        <v>45498</v>
      </c>
      <c r="H483" s="8" t="str">
        <f t="shared" si="7"/>
        <v>Jul</v>
      </c>
      <c r="I483" s="5">
        <v>7500</v>
      </c>
      <c r="J483" s="5">
        <v>7100</v>
      </c>
      <c r="K483" s="5">
        <f>student_data[[#This Row],[Total Fee]]-student_data[[#This Row],[Deposit Fee]]</f>
        <v>400</v>
      </c>
      <c r="L483" s="5" t="str">
        <f>IF(student_data[[#This Row],[Outstanding Fee]]=0,"Paid",IF(student_data[[#This Row],[Deposit Fee]]=0,"Unpaid","Partially Paid"))</f>
        <v>Partially Paid</v>
      </c>
      <c r="M483" s="5" t="s">
        <v>16</v>
      </c>
      <c r="N483"/>
      <c r="O483"/>
      <c r="P483"/>
      <c r="Q483"/>
      <c r="R483"/>
      <c r="S483"/>
      <c r="T483"/>
      <c r="U483"/>
      <c r="V483"/>
      <c r="W483"/>
    </row>
    <row r="484" spans="1:23" ht="15.4">
      <c r="A484" s="5">
        <v>325</v>
      </c>
      <c r="B484" s="5">
        <v>18325</v>
      </c>
      <c r="C484" s="5" t="s">
        <v>567</v>
      </c>
      <c r="D484" s="5" t="s">
        <v>568</v>
      </c>
      <c r="E484" s="5" t="s">
        <v>9</v>
      </c>
      <c r="F484" s="5" t="s">
        <v>1363</v>
      </c>
      <c r="G484" s="8">
        <v>45498</v>
      </c>
      <c r="H484" s="8" t="str">
        <f t="shared" si="7"/>
        <v>Jul</v>
      </c>
      <c r="I484" s="5">
        <v>7500</v>
      </c>
      <c r="J484" s="5">
        <v>7500</v>
      </c>
      <c r="K484" s="5">
        <f>student_data[[#This Row],[Total Fee]]-student_data[[#This Row],[Deposit Fee]]</f>
        <v>0</v>
      </c>
      <c r="L484" s="5" t="str">
        <f>IF(student_data[[#This Row],[Outstanding Fee]]=0,"Paid",IF(student_data[[#This Row],[Deposit Fee]]=0,"Unpaid","Partially Paid"))</f>
        <v>Paid</v>
      </c>
      <c r="M484" s="5" t="s">
        <v>19</v>
      </c>
      <c r="N484"/>
      <c r="O484"/>
      <c r="P484"/>
      <c r="Q484"/>
      <c r="R484"/>
      <c r="S484"/>
      <c r="T484"/>
      <c r="U484"/>
      <c r="V484"/>
      <c r="W484"/>
    </row>
    <row r="485" spans="1:23" ht="15.4">
      <c r="A485" s="5">
        <v>326</v>
      </c>
      <c r="B485" s="5">
        <v>18326</v>
      </c>
      <c r="C485" s="5" t="s">
        <v>569</v>
      </c>
      <c r="D485" s="5" t="s">
        <v>570</v>
      </c>
      <c r="E485" s="5" t="s">
        <v>9</v>
      </c>
      <c r="F485" s="5" t="s">
        <v>1363</v>
      </c>
      <c r="G485" s="8">
        <v>45498</v>
      </c>
      <c r="H485" s="8" t="str">
        <f t="shared" si="7"/>
        <v>Jul</v>
      </c>
      <c r="I485" s="5">
        <v>7500</v>
      </c>
      <c r="J485" s="5">
        <v>7100</v>
      </c>
      <c r="K485" s="5">
        <f>student_data[[#This Row],[Total Fee]]-student_data[[#This Row],[Deposit Fee]]</f>
        <v>400</v>
      </c>
      <c r="L485" s="5" t="str">
        <f>IF(student_data[[#This Row],[Outstanding Fee]]=0,"Paid",IF(student_data[[#This Row],[Deposit Fee]]=0,"Unpaid","Partially Paid"))</f>
        <v>Partially Paid</v>
      </c>
      <c r="M485" s="5" t="s">
        <v>47</v>
      </c>
      <c r="N485"/>
      <c r="O485"/>
      <c r="P485"/>
      <c r="Q485"/>
      <c r="R485"/>
      <c r="S485"/>
      <c r="T485"/>
      <c r="U485"/>
      <c r="V485"/>
      <c r="W485"/>
    </row>
    <row r="486" spans="1:23" ht="15.4">
      <c r="A486" s="5">
        <v>327</v>
      </c>
      <c r="B486" s="5">
        <v>18327</v>
      </c>
      <c r="C486" s="5" t="s">
        <v>571</v>
      </c>
      <c r="D486" s="5" t="s">
        <v>572</v>
      </c>
      <c r="E486" s="5" t="s">
        <v>25</v>
      </c>
      <c r="F486" s="5" t="s">
        <v>1363</v>
      </c>
      <c r="G486" s="8">
        <v>45499</v>
      </c>
      <c r="H486" s="8" t="str">
        <f t="shared" si="7"/>
        <v>Jul</v>
      </c>
      <c r="I486" s="5">
        <v>7500</v>
      </c>
      <c r="J486" s="5">
        <v>7500</v>
      </c>
      <c r="K486" s="5">
        <f>student_data[[#This Row],[Total Fee]]-student_data[[#This Row],[Deposit Fee]]</f>
        <v>0</v>
      </c>
      <c r="L486" s="5" t="str">
        <f>IF(student_data[[#This Row],[Outstanding Fee]]=0,"Paid",IF(student_data[[#This Row],[Deposit Fee]]=0,"Unpaid","Partially Paid"))</f>
        <v>Paid</v>
      </c>
      <c r="M486" s="5" t="s">
        <v>75</v>
      </c>
      <c r="N486"/>
      <c r="O486"/>
      <c r="P486"/>
      <c r="Q486"/>
      <c r="R486"/>
      <c r="S486"/>
      <c r="T486"/>
      <c r="U486"/>
      <c r="V486"/>
      <c r="W486"/>
    </row>
    <row r="487" spans="1:23" ht="15.4">
      <c r="A487" s="5">
        <v>328</v>
      </c>
      <c r="B487" s="5">
        <v>18328</v>
      </c>
      <c r="C487" s="5" t="s">
        <v>573</v>
      </c>
      <c r="D487" s="5" t="s">
        <v>574</v>
      </c>
      <c r="E487" s="5" t="s">
        <v>9</v>
      </c>
      <c r="F487" s="5" t="s">
        <v>1363</v>
      </c>
      <c r="G487" s="8">
        <v>45499</v>
      </c>
      <c r="H487" s="8" t="str">
        <f t="shared" si="7"/>
        <v>Jul</v>
      </c>
      <c r="I487" s="5">
        <v>7500</v>
      </c>
      <c r="J487" s="5">
        <v>6900</v>
      </c>
      <c r="K487" s="5">
        <f>student_data[[#This Row],[Total Fee]]-student_data[[#This Row],[Deposit Fee]]</f>
        <v>600</v>
      </c>
      <c r="L487" s="5" t="str">
        <f>IF(student_data[[#This Row],[Outstanding Fee]]=0,"Paid",IF(student_data[[#This Row],[Deposit Fee]]=0,"Unpaid","Partially Paid"))</f>
        <v>Partially Paid</v>
      </c>
      <c r="M487" s="5" t="s">
        <v>89</v>
      </c>
      <c r="N487"/>
      <c r="O487"/>
      <c r="P487"/>
      <c r="Q487"/>
      <c r="R487"/>
      <c r="S487"/>
      <c r="T487"/>
      <c r="U487"/>
      <c r="V487"/>
      <c r="W487"/>
    </row>
    <row r="488" spans="1:23" ht="15.4">
      <c r="A488" s="5">
        <v>329</v>
      </c>
      <c r="B488" s="5">
        <v>18329</v>
      </c>
      <c r="C488" s="5" t="s">
        <v>575</v>
      </c>
      <c r="D488" s="5" t="s">
        <v>576</v>
      </c>
      <c r="E488" s="5" t="s">
        <v>25</v>
      </c>
      <c r="F488" s="5" t="s">
        <v>1363</v>
      </c>
      <c r="G488" s="8">
        <v>45499</v>
      </c>
      <c r="H488" s="8" t="str">
        <f t="shared" si="7"/>
        <v>Jul</v>
      </c>
      <c r="I488" s="5">
        <v>7500</v>
      </c>
      <c r="J488" s="5">
        <v>6900</v>
      </c>
      <c r="K488" s="5">
        <f>student_data[[#This Row],[Total Fee]]-student_data[[#This Row],[Deposit Fee]]</f>
        <v>600</v>
      </c>
      <c r="L488" s="5" t="str">
        <f>IF(student_data[[#This Row],[Outstanding Fee]]=0,"Paid",IF(student_data[[#This Row],[Deposit Fee]]=0,"Unpaid","Partially Paid"))</f>
        <v>Partially Paid</v>
      </c>
      <c r="M488" s="5" t="s">
        <v>29</v>
      </c>
      <c r="N488"/>
      <c r="O488"/>
      <c r="P488"/>
      <c r="Q488"/>
      <c r="R488"/>
      <c r="S488"/>
      <c r="T488"/>
      <c r="U488"/>
      <c r="V488"/>
      <c r="W488"/>
    </row>
    <row r="489" spans="1:23" ht="15.4">
      <c r="A489" s="5">
        <v>330</v>
      </c>
      <c r="B489" s="5">
        <v>18330</v>
      </c>
      <c r="C489" s="5" t="s">
        <v>577</v>
      </c>
      <c r="D489" s="5" t="s">
        <v>578</v>
      </c>
      <c r="E489" s="5" t="s">
        <v>25</v>
      </c>
      <c r="F489" s="5" t="s">
        <v>1363</v>
      </c>
      <c r="G489" s="8">
        <v>45500</v>
      </c>
      <c r="H489" s="8" t="str">
        <f t="shared" si="7"/>
        <v>Jul</v>
      </c>
      <c r="I489" s="5">
        <v>7500</v>
      </c>
      <c r="J489" s="5">
        <v>7500</v>
      </c>
      <c r="K489" s="5">
        <f>student_data[[#This Row],[Total Fee]]-student_data[[#This Row],[Deposit Fee]]</f>
        <v>0</v>
      </c>
      <c r="L489" s="5" t="str">
        <f>IF(student_data[[#This Row],[Outstanding Fee]]=0,"Paid",IF(student_data[[#This Row],[Deposit Fee]]=0,"Unpaid","Partially Paid"))</f>
        <v>Paid</v>
      </c>
      <c r="M489" s="5" t="s">
        <v>75</v>
      </c>
      <c r="N489"/>
      <c r="O489"/>
      <c r="P489"/>
      <c r="Q489"/>
      <c r="R489"/>
      <c r="S489"/>
      <c r="T489"/>
      <c r="U489"/>
      <c r="V489"/>
      <c r="W489"/>
    </row>
    <row r="490" spans="1:23" ht="15.4">
      <c r="A490" s="5">
        <v>331</v>
      </c>
      <c r="B490" s="5">
        <v>18331</v>
      </c>
      <c r="C490" s="5" t="s">
        <v>579</v>
      </c>
      <c r="D490" s="5" t="s">
        <v>580</v>
      </c>
      <c r="E490" s="5" t="s">
        <v>9</v>
      </c>
      <c r="F490" s="5" t="s">
        <v>1363</v>
      </c>
      <c r="G490" s="8">
        <v>45500</v>
      </c>
      <c r="H490" s="8" t="str">
        <f t="shared" si="7"/>
        <v>Jul</v>
      </c>
      <c r="I490" s="5">
        <v>7500</v>
      </c>
      <c r="J490" s="5">
        <v>6900</v>
      </c>
      <c r="K490" s="5">
        <f>student_data[[#This Row],[Total Fee]]-student_data[[#This Row],[Deposit Fee]]</f>
        <v>600</v>
      </c>
      <c r="L490" s="5" t="str">
        <f>IF(student_data[[#This Row],[Outstanding Fee]]=0,"Paid",IF(student_data[[#This Row],[Deposit Fee]]=0,"Unpaid","Partially Paid"))</f>
        <v>Partially Paid</v>
      </c>
      <c r="M490" s="5" t="s">
        <v>75</v>
      </c>
      <c r="N490"/>
      <c r="O490"/>
      <c r="P490"/>
      <c r="Q490"/>
      <c r="R490"/>
      <c r="S490"/>
      <c r="T490"/>
      <c r="U490"/>
      <c r="V490"/>
      <c r="W490"/>
    </row>
    <row r="491" spans="1:23" ht="15.4">
      <c r="A491" s="5">
        <v>332</v>
      </c>
      <c r="B491" s="5">
        <v>18332</v>
      </c>
      <c r="C491" s="5" t="s">
        <v>581</v>
      </c>
      <c r="D491" s="5" t="s">
        <v>103</v>
      </c>
      <c r="E491" s="5" t="s">
        <v>9</v>
      </c>
      <c r="F491" s="5" t="s">
        <v>1363</v>
      </c>
      <c r="G491" s="8">
        <v>45500</v>
      </c>
      <c r="H491" s="8" t="str">
        <f t="shared" si="7"/>
        <v>Jul</v>
      </c>
      <c r="I491" s="5">
        <v>7500</v>
      </c>
      <c r="J491" s="5">
        <v>7500</v>
      </c>
      <c r="K491" s="5">
        <f>student_data[[#This Row],[Total Fee]]-student_data[[#This Row],[Deposit Fee]]</f>
        <v>0</v>
      </c>
      <c r="L491" s="5" t="str">
        <f>IF(student_data[[#This Row],[Outstanding Fee]]=0,"Paid",IF(student_data[[#This Row],[Deposit Fee]]=0,"Unpaid","Partially Paid"))</f>
        <v>Paid</v>
      </c>
      <c r="M491" s="5" t="s">
        <v>19</v>
      </c>
      <c r="N491"/>
      <c r="O491"/>
      <c r="P491"/>
      <c r="Q491"/>
      <c r="R491"/>
      <c r="S491"/>
      <c r="T491"/>
      <c r="U491"/>
      <c r="V491"/>
      <c r="W491"/>
    </row>
    <row r="492" spans="1:23" ht="15.4">
      <c r="A492" s="5">
        <v>333</v>
      </c>
      <c r="B492" s="5">
        <v>18333</v>
      </c>
      <c r="C492" s="5" t="s">
        <v>582</v>
      </c>
      <c r="D492" s="5" t="s">
        <v>583</v>
      </c>
      <c r="E492" s="5" t="s">
        <v>9</v>
      </c>
      <c r="F492" s="5" t="s">
        <v>1363</v>
      </c>
      <c r="G492" s="8">
        <v>45500</v>
      </c>
      <c r="H492" s="8" t="str">
        <f t="shared" si="7"/>
        <v>Jul</v>
      </c>
      <c r="I492" s="5">
        <v>7500</v>
      </c>
      <c r="J492" s="5">
        <v>7500</v>
      </c>
      <c r="K492" s="5">
        <f>student_data[[#This Row],[Total Fee]]-student_data[[#This Row],[Deposit Fee]]</f>
        <v>0</v>
      </c>
      <c r="L492" s="5" t="str">
        <f>IF(student_data[[#This Row],[Outstanding Fee]]=0,"Paid",IF(student_data[[#This Row],[Deposit Fee]]=0,"Unpaid","Partially Paid"))</f>
        <v>Paid</v>
      </c>
      <c r="M492" s="5" t="s">
        <v>47</v>
      </c>
      <c r="N492"/>
      <c r="O492"/>
      <c r="P492"/>
      <c r="Q492"/>
      <c r="R492"/>
      <c r="S492"/>
      <c r="T492"/>
      <c r="U492"/>
      <c r="V492"/>
      <c r="W492"/>
    </row>
    <row r="493" spans="1:23" ht="15.4">
      <c r="A493" s="5">
        <v>334</v>
      </c>
      <c r="B493" s="5">
        <v>18334</v>
      </c>
      <c r="C493" s="5" t="s">
        <v>584</v>
      </c>
      <c r="D493" s="5" t="s">
        <v>585</v>
      </c>
      <c r="E493" s="5" t="s">
        <v>9</v>
      </c>
      <c r="F493" s="5" t="s">
        <v>1363</v>
      </c>
      <c r="G493" s="8">
        <v>45500</v>
      </c>
      <c r="H493" s="8" t="str">
        <f t="shared" si="7"/>
        <v>Jul</v>
      </c>
      <c r="I493" s="5">
        <v>7500</v>
      </c>
      <c r="J493" s="5">
        <v>6900</v>
      </c>
      <c r="K493" s="5">
        <f>student_data[[#This Row],[Total Fee]]-student_data[[#This Row],[Deposit Fee]]</f>
        <v>600</v>
      </c>
      <c r="L493" s="5" t="str">
        <f>IF(student_data[[#This Row],[Outstanding Fee]]=0,"Paid",IF(student_data[[#This Row],[Deposit Fee]]=0,"Unpaid","Partially Paid"))</f>
        <v>Partially Paid</v>
      </c>
      <c r="M493" s="5" t="s">
        <v>19</v>
      </c>
      <c r="N493"/>
      <c r="O493"/>
      <c r="P493"/>
      <c r="Q493"/>
      <c r="R493"/>
      <c r="S493"/>
      <c r="T493"/>
      <c r="U493"/>
      <c r="V493"/>
      <c r="W493"/>
    </row>
    <row r="494" spans="1:23" ht="15.4">
      <c r="A494" s="5">
        <v>335</v>
      </c>
      <c r="B494" s="5">
        <v>18335</v>
      </c>
      <c r="C494" s="5" t="s">
        <v>586</v>
      </c>
      <c r="D494" s="5" t="s">
        <v>182</v>
      </c>
      <c r="E494" s="5" t="s">
        <v>25</v>
      </c>
      <c r="F494" s="5" t="s">
        <v>1363</v>
      </c>
      <c r="G494" s="8">
        <v>45500</v>
      </c>
      <c r="H494" s="8" t="str">
        <f t="shared" si="7"/>
        <v>Jul</v>
      </c>
      <c r="I494" s="5">
        <v>7500</v>
      </c>
      <c r="J494" s="5">
        <v>7500</v>
      </c>
      <c r="K494" s="5">
        <f>student_data[[#This Row],[Total Fee]]-student_data[[#This Row],[Deposit Fee]]</f>
        <v>0</v>
      </c>
      <c r="L494" s="5" t="str">
        <f>IF(student_data[[#This Row],[Outstanding Fee]]=0,"Paid",IF(student_data[[#This Row],[Deposit Fee]]=0,"Unpaid","Partially Paid"))</f>
        <v>Paid</v>
      </c>
      <c r="M494" s="5" t="s">
        <v>47</v>
      </c>
      <c r="N494"/>
      <c r="O494"/>
      <c r="P494"/>
      <c r="Q494"/>
      <c r="R494"/>
      <c r="S494"/>
      <c r="T494"/>
      <c r="U494"/>
      <c r="V494"/>
      <c r="W494"/>
    </row>
    <row r="495" spans="1:23" ht="15.4">
      <c r="A495" s="5">
        <v>336</v>
      </c>
      <c r="B495" s="5">
        <v>18336</v>
      </c>
      <c r="C495" s="5" t="s">
        <v>587</v>
      </c>
      <c r="D495" s="5" t="s">
        <v>373</v>
      </c>
      <c r="E495" s="5" t="s">
        <v>25</v>
      </c>
      <c r="F495" s="5" t="s">
        <v>1363</v>
      </c>
      <c r="G495" s="8">
        <v>45500</v>
      </c>
      <c r="H495" s="8" t="str">
        <f t="shared" si="7"/>
        <v>Jul</v>
      </c>
      <c r="I495" s="5">
        <v>7500</v>
      </c>
      <c r="J495" s="5">
        <v>7100</v>
      </c>
      <c r="K495" s="5">
        <f>student_data[[#This Row],[Total Fee]]-student_data[[#This Row],[Deposit Fee]]</f>
        <v>400</v>
      </c>
      <c r="L495" s="5" t="str">
        <f>IF(student_data[[#This Row],[Outstanding Fee]]=0,"Paid",IF(student_data[[#This Row],[Deposit Fee]]=0,"Unpaid","Partially Paid"))</f>
        <v>Partially Paid</v>
      </c>
      <c r="M495" s="5" t="s">
        <v>75</v>
      </c>
      <c r="N495"/>
      <c r="O495"/>
      <c r="P495"/>
      <c r="Q495"/>
      <c r="R495"/>
      <c r="S495"/>
      <c r="T495"/>
      <c r="U495"/>
      <c r="V495"/>
      <c r="W495"/>
    </row>
    <row r="496" spans="1:23" ht="15.4">
      <c r="A496" s="5">
        <v>337</v>
      </c>
      <c r="B496" s="5">
        <v>18337</v>
      </c>
      <c r="C496" s="5" t="s">
        <v>588</v>
      </c>
      <c r="D496" s="5" t="s">
        <v>413</v>
      </c>
      <c r="E496" s="5" t="s">
        <v>9</v>
      </c>
      <c r="F496" s="5" t="s">
        <v>1363</v>
      </c>
      <c r="G496" s="8">
        <v>45500</v>
      </c>
      <c r="H496" s="8" t="str">
        <f t="shared" si="7"/>
        <v>Jul</v>
      </c>
      <c r="I496" s="5">
        <v>7500</v>
      </c>
      <c r="J496" s="5">
        <v>7500</v>
      </c>
      <c r="K496" s="5">
        <f>student_data[[#This Row],[Total Fee]]-student_data[[#This Row],[Deposit Fee]]</f>
        <v>0</v>
      </c>
      <c r="L496" s="5" t="str">
        <f>IF(student_data[[#This Row],[Outstanding Fee]]=0,"Paid",IF(student_data[[#This Row],[Deposit Fee]]=0,"Unpaid","Partially Paid"))</f>
        <v>Paid</v>
      </c>
      <c r="M496" s="5" t="s">
        <v>89</v>
      </c>
      <c r="N496"/>
      <c r="O496"/>
      <c r="P496"/>
      <c r="Q496"/>
      <c r="R496"/>
      <c r="S496"/>
      <c r="T496"/>
      <c r="U496"/>
      <c r="V496"/>
      <c r="W496"/>
    </row>
    <row r="497" spans="1:23" ht="15.4">
      <c r="A497" s="5">
        <v>338</v>
      </c>
      <c r="B497" s="5">
        <v>18338</v>
      </c>
      <c r="C497" s="5" t="s">
        <v>589</v>
      </c>
      <c r="D497" s="5" t="s">
        <v>361</v>
      </c>
      <c r="E497" s="5" t="s">
        <v>25</v>
      </c>
      <c r="F497" s="5" t="s">
        <v>1363</v>
      </c>
      <c r="G497" s="8">
        <v>45500</v>
      </c>
      <c r="H497" s="8" t="str">
        <f t="shared" si="7"/>
        <v>Jul</v>
      </c>
      <c r="I497" s="5">
        <v>7500</v>
      </c>
      <c r="J497" s="5">
        <v>7100</v>
      </c>
      <c r="K497" s="5">
        <f>student_data[[#This Row],[Total Fee]]-student_data[[#This Row],[Deposit Fee]]</f>
        <v>400</v>
      </c>
      <c r="L497" s="5" t="str">
        <f>IF(student_data[[#This Row],[Outstanding Fee]]=0,"Paid",IF(student_data[[#This Row],[Deposit Fee]]=0,"Unpaid","Partially Paid"))</f>
        <v>Partially Paid</v>
      </c>
      <c r="M497" s="5" t="s">
        <v>29</v>
      </c>
      <c r="N497"/>
      <c r="O497"/>
      <c r="P497"/>
      <c r="Q497"/>
      <c r="R497"/>
      <c r="S497"/>
      <c r="T497"/>
      <c r="U497"/>
      <c r="V497"/>
      <c r="W497"/>
    </row>
    <row r="498" spans="1:23" ht="15.4">
      <c r="A498" s="5">
        <v>339</v>
      </c>
      <c r="B498" s="5">
        <v>18339</v>
      </c>
      <c r="C498" s="5" t="s">
        <v>590</v>
      </c>
      <c r="D498" s="5" t="s">
        <v>311</v>
      </c>
      <c r="E498" s="5" t="s">
        <v>9</v>
      </c>
      <c r="F498" s="5" t="s">
        <v>1363</v>
      </c>
      <c r="G498" s="8">
        <v>45502</v>
      </c>
      <c r="H498" s="8" t="str">
        <f t="shared" si="7"/>
        <v>Jul</v>
      </c>
      <c r="I498" s="5">
        <v>7500</v>
      </c>
      <c r="J498" s="5">
        <v>7500</v>
      </c>
      <c r="K498" s="5">
        <f>student_data[[#This Row],[Total Fee]]-student_data[[#This Row],[Deposit Fee]]</f>
        <v>0</v>
      </c>
      <c r="L498" s="5" t="str">
        <f>IF(student_data[[#This Row],[Outstanding Fee]]=0,"Paid",IF(student_data[[#This Row],[Deposit Fee]]=0,"Unpaid","Partially Paid"))</f>
        <v>Paid</v>
      </c>
      <c r="M498" s="5" t="s">
        <v>10</v>
      </c>
      <c r="N498"/>
      <c r="O498"/>
      <c r="P498"/>
      <c r="Q498"/>
      <c r="R498"/>
      <c r="S498"/>
      <c r="T498"/>
      <c r="U498"/>
      <c r="V498"/>
      <c r="W498"/>
    </row>
    <row r="499" spans="1:23" ht="15.4">
      <c r="A499" s="5">
        <v>340</v>
      </c>
      <c r="B499" s="5">
        <v>18340</v>
      </c>
      <c r="C499" s="5" t="s">
        <v>335</v>
      </c>
      <c r="D499" s="5" t="s">
        <v>133</v>
      </c>
      <c r="E499" s="5" t="s">
        <v>9</v>
      </c>
      <c r="F499" s="5" t="s">
        <v>1363</v>
      </c>
      <c r="G499" s="8">
        <v>45502</v>
      </c>
      <c r="H499" s="8" t="str">
        <f t="shared" si="7"/>
        <v>Jul</v>
      </c>
      <c r="I499" s="5">
        <v>7500</v>
      </c>
      <c r="J499" s="5">
        <v>7500</v>
      </c>
      <c r="K499" s="5">
        <f>student_data[[#This Row],[Total Fee]]-student_data[[#This Row],[Deposit Fee]]</f>
        <v>0</v>
      </c>
      <c r="L499" s="5" t="str">
        <f>IF(student_data[[#This Row],[Outstanding Fee]]=0,"Paid",IF(student_data[[#This Row],[Deposit Fee]]=0,"Unpaid","Partially Paid"))</f>
        <v>Paid</v>
      </c>
      <c r="M499" s="5" t="s">
        <v>13</v>
      </c>
      <c r="N499"/>
      <c r="O499"/>
      <c r="P499"/>
      <c r="Q499"/>
      <c r="R499"/>
      <c r="S499"/>
      <c r="T499"/>
      <c r="U499"/>
      <c r="V499"/>
      <c r="W499"/>
    </row>
    <row r="500" spans="1:23" ht="15.4">
      <c r="A500" s="5">
        <v>341</v>
      </c>
      <c r="B500" s="5">
        <v>18341</v>
      </c>
      <c r="C500" s="5" t="s">
        <v>591</v>
      </c>
      <c r="D500" s="5" t="s">
        <v>592</v>
      </c>
      <c r="E500" s="5" t="s">
        <v>25</v>
      </c>
      <c r="F500" s="5" t="s">
        <v>1363</v>
      </c>
      <c r="G500" s="8">
        <v>45502</v>
      </c>
      <c r="H500" s="8" t="str">
        <f t="shared" si="7"/>
        <v>Jul</v>
      </c>
      <c r="I500" s="5">
        <v>7500</v>
      </c>
      <c r="J500" s="5">
        <v>7500</v>
      </c>
      <c r="K500" s="5">
        <f>student_data[[#This Row],[Total Fee]]-student_data[[#This Row],[Deposit Fee]]</f>
        <v>0</v>
      </c>
      <c r="L500" s="5" t="str">
        <f>IF(student_data[[#This Row],[Outstanding Fee]]=0,"Paid",IF(student_data[[#This Row],[Deposit Fee]]=0,"Unpaid","Partially Paid"))</f>
        <v>Paid</v>
      </c>
      <c r="M500" s="5" t="s">
        <v>38</v>
      </c>
      <c r="N500"/>
      <c r="O500"/>
      <c r="P500"/>
      <c r="Q500"/>
      <c r="R500"/>
      <c r="S500"/>
      <c r="T500"/>
      <c r="U500"/>
      <c r="V500"/>
      <c r="W500"/>
    </row>
    <row r="501" spans="1:23" ht="15.4">
      <c r="A501" s="5">
        <v>342</v>
      </c>
      <c r="B501" s="5">
        <v>18342</v>
      </c>
      <c r="C501" s="5" t="s">
        <v>593</v>
      </c>
      <c r="D501" s="5" t="s">
        <v>594</v>
      </c>
      <c r="E501" s="5" t="s">
        <v>9</v>
      </c>
      <c r="F501" s="5" t="s">
        <v>1363</v>
      </c>
      <c r="G501" s="8">
        <v>45502</v>
      </c>
      <c r="H501" s="8" t="str">
        <f t="shared" si="7"/>
        <v>Jul</v>
      </c>
      <c r="I501" s="5">
        <v>7500</v>
      </c>
      <c r="J501" s="5">
        <v>6900</v>
      </c>
      <c r="K501" s="5">
        <f>student_data[[#This Row],[Total Fee]]-student_data[[#This Row],[Deposit Fee]]</f>
        <v>600</v>
      </c>
      <c r="L501" s="5" t="str">
        <f>IF(student_data[[#This Row],[Outstanding Fee]]=0,"Paid",IF(student_data[[#This Row],[Deposit Fee]]=0,"Unpaid","Partially Paid"))</f>
        <v>Partially Paid</v>
      </c>
      <c r="M501" s="5" t="s">
        <v>78</v>
      </c>
      <c r="N501"/>
      <c r="O501"/>
      <c r="P501"/>
      <c r="Q501"/>
      <c r="R501"/>
      <c r="S501"/>
      <c r="T501"/>
      <c r="U501"/>
      <c r="V501"/>
      <c r="W501"/>
    </row>
    <row r="502" spans="1:23" ht="15.4">
      <c r="A502" s="5">
        <v>343</v>
      </c>
      <c r="B502" s="5">
        <v>18343</v>
      </c>
      <c r="C502" s="5" t="s">
        <v>595</v>
      </c>
      <c r="D502" s="5" t="s">
        <v>596</v>
      </c>
      <c r="E502" s="5" t="s">
        <v>9</v>
      </c>
      <c r="F502" s="5" t="s">
        <v>1363</v>
      </c>
      <c r="G502" s="8">
        <v>45502</v>
      </c>
      <c r="H502" s="8" t="str">
        <f t="shared" si="7"/>
        <v>Jul</v>
      </c>
      <c r="I502" s="5">
        <v>7500</v>
      </c>
      <c r="J502" s="5">
        <v>7500</v>
      </c>
      <c r="K502" s="5">
        <f>student_data[[#This Row],[Total Fee]]-student_data[[#This Row],[Deposit Fee]]</f>
        <v>0</v>
      </c>
      <c r="L502" s="5" t="str">
        <f>IF(student_data[[#This Row],[Outstanding Fee]]=0,"Paid",IF(student_data[[#This Row],[Deposit Fee]]=0,"Unpaid","Partially Paid"))</f>
        <v>Paid</v>
      </c>
      <c r="M502" s="5" t="s">
        <v>16</v>
      </c>
      <c r="N502"/>
      <c r="O502"/>
      <c r="P502"/>
      <c r="Q502"/>
      <c r="R502"/>
      <c r="S502"/>
      <c r="T502"/>
      <c r="U502"/>
      <c r="V502"/>
      <c r="W502"/>
    </row>
    <row r="503" spans="1:23" ht="15.4">
      <c r="A503" s="5">
        <v>344</v>
      </c>
      <c r="B503" s="5">
        <v>18344</v>
      </c>
      <c r="C503" s="5" t="s">
        <v>597</v>
      </c>
      <c r="D503" s="5" t="s">
        <v>598</v>
      </c>
      <c r="E503" s="5" t="s">
        <v>25</v>
      </c>
      <c r="F503" s="5" t="s">
        <v>1363</v>
      </c>
      <c r="G503" s="8">
        <v>45502</v>
      </c>
      <c r="H503" s="8" t="str">
        <f t="shared" si="7"/>
        <v>Jul</v>
      </c>
      <c r="I503" s="5">
        <v>7500</v>
      </c>
      <c r="J503" s="5">
        <v>7200</v>
      </c>
      <c r="K503" s="5">
        <f>student_data[[#This Row],[Total Fee]]-student_data[[#This Row],[Deposit Fee]]</f>
        <v>300</v>
      </c>
      <c r="L503" s="5" t="str">
        <f>IF(student_data[[#This Row],[Outstanding Fee]]=0,"Paid",IF(student_data[[#This Row],[Deposit Fee]]=0,"Unpaid","Partially Paid"))</f>
        <v>Partially Paid</v>
      </c>
      <c r="M503" s="5" t="s">
        <v>19</v>
      </c>
      <c r="N503"/>
      <c r="O503"/>
      <c r="P503"/>
      <c r="Q503"/>
      <c r="R503"/>
      <c r="S503"/>
      <c r="T503"/>
      <c r="U503"/>
      <c r="V503"/>
      <c r="W503"/>
    </row>
    <row r="504" spans="1:23" ht="15.4">
      <c r="A504" s="5">
        <v>345</v>
      </c>
      <c r="B504" s="5">
        <v>18345</v>
      </c>
      <c r="C504" s="5" t="s">
        <v>106</v>
      </c>
      <c r="D504" s="5" t="s">
        <v>599</v>
      </c>
      <c r="E504" s="5" t="s">
        <v>9</v>
      </c>
      <c r="F504" s="5" t="s">
        <v>1363</v>
      </c>
      <c r="G504" s="8">
        <v>45502</v>
      </c>
      <c r="H504" s="8" t="str">
        <f t="shared" si="7"/>
        <v>Jul</v>
      </c>
      <c r="I504" s="5">
        <v>7500</v>
      </c>
      <c r="J504" s="5">
        <v>6900</v>
      </c>
      <c r="K504" s="5">
        <f>student_data[[#This Row],[Total Fee]]-student_data[[#This Row],[Deposit Fee]]</f>
        <v>600</v>
      </c>
      <c r="L504" s="5" t="str">
        <f>IF(student_data[[#This Row],[Outstanding Fee]]=0,"Paid",IF(student_data[[#This Row],[Deposit Fee]]=0,"Unpaid","Partially Paid"))</f>
        <v>Partially Paid</v>
      </c>
      <c r="M504" s="5" t="s">
        <v>47</v>
      </c>
      <c r="N504"/>
      <c r="O504"/>
      <c r="P504"/>
      <c r="Q504"/>
      <c r="R504"/>
      <c r="S504"/>
      <c r="T504"/>
      <c r="U504"/>
      <c r="V504"/>
      <c r="W504"/>
    </row>
    <row r="505" spans="1:23" ht="15.4">
      <c r="A505" s="5">
        <v>346</v>
      </c>
      <c r="B505" s="5">
        <v>18346</v>
      </c>
      <c r="C505" s="5" t="s">
        <v>600</v>
      </c>
      <c r="D505" s="5" t="s">
        <v>359</v>
      </c>
      <c r="E505" s="5" t="s">
        <v>25</v>
      </c>
      <c r="F505" s="5" t="s">
        <v>1363</v>
      </c>
      <c r="G505" s="8">
        <v>45502</v>
      </c>
      <c r="H505" s="8" t="str">
        <f t="shared" si="7"/>
        <v>Jul</v>
      </c>
      <c r="I505" s="5">
        <v>7500</v>
      </c>
      <c r="J505" s="5">
        <v>6900</v>
      </c>
      <c r="K505" s="5">
        <f>student_data[[#This Row],[Total Fee]]-student_data[[#This Row],[Deposit Fee]]</f>
        <v>600</v>
      </c>
      <c r="L505" s="5" t="str">
        <f>IF(student_data[[#This Row],[Outstanding Fee]]=0,"Paid",IF(student_data[[#This Row],[Deposit Fee]]=0,"Unpaid","Partially Paid"))</f>
        <v>Partially Paid</v>
      </c>
      <c r="M505" s="5" t="s">
        <v>75</v>
      </c>
      <c r="N505"/>
      <c r="O505"/>
      <c r="P505"/>
      <c r="Q505"/>
      <c r="R505"/>
      <c r="S505"/>
      <c r="T505"/>
      <c r="U505"/>
      <c r="V505"/>
      <c r="W505"/>
    </row>
    <row r="506" spans="1:23" ht="15.4">
      <c r="A506" s="5">
        <v>347</v>
      </c>
      <c r="B506" s="5">
        <v>18347</v>
      </c>
      <c r="C506" s="5" t="s">
        <v>601</v>
      </c>
      <c r="D506" s="5" t="s">
        <v>285</v>
      </c>
      <c r="E506" s="5" t="s">
        <v>9</v>
      </c>
      <c r="F506" s="5" t="s">
        <v>1363</v>
      </c>
      <c r="G506" s="8">
        <v>45502</v>
      </c>
      <c r="H506" s="8" t="str">
        <f t="shared" si="7"/>
        <v>Jul</v>
      </c>
      <c r="I506" s="5">
        <v>7500</v>
      </c>
      <c r="J506" s="5">
        <v>7500</v>
      </c>
      <c r="K506" s="5">
        <f>student_data[[#This Row],[Total Fee]]-student_data[[#This Row],[Deposit Fee]]</f>
        <v>0</v>
      </c>
      <c r="L506" s="5" t="str">
        <f>IF(student_data[[#This Row],[Outstanding Fee]]=0,"Paid",IF(student_data[[#This Row],[Deposit Fee]]=0,"Unpaid","Partially Paid"))</f>
        <v>Paid</v>
      </c>
      <c r="M506" s="5" t="s">
        <v>89</v>
      </c>
      <c r="N506"/>
      <c r="O506"/>
      <c r="P506"/>
      <c r="Q506"/>
      <c r="R506"/>
      <c r="S506"/>
      <c r="T506"/>
      <c r="U506"/>
      <c r="V506"/>
      <c r="W506"/>
    </row>
    <row r="507" spans="1:23" ht="15.4">
      <c r="A507" s="5">
        <v>348</v>
      </c>
      <c r="B507" s="5">
        <v>18348</v>
      </c>
      <c r="C507" s="5" t="s">
        <v>602</v>
      </c>
      <c r="D507" s="5" t="s">
        <v>603</v>
      </c>
      <c r="E507" s="5" t="s">
        <v>9</v>
      </c>
      <c r="F507" s="5" t="s">
        <v>1363</v>
      </c>
      <c r="G507" s="8">
        <v>45503</v>
      </c>
      <c r="H507" s="8" t="str">
        <f t="shared" si="7"/>
        <v>Jul</v>
      </c>
      <c r="I507" s="5">
        <v>7500</v>
      </c>
      <c r="J507" s="5">
        <v>7100</v>
      </c>
      <c r="K507" s="5">
        <f>student_data[[#This Row],[Total Fee]]-student_data[[#This Row],[Deposit Fee]]</f>
        <v>400</v>
      </c>
      <c r="L507" s="5" t="str">
        <f>IF(student_data[[#This Row],[Outstanding Fee]]=0,"Paid",IF(student_data[[#This Row],[Deposit Fee]]=0,"Unpaid","Partially Paid"))</f>
        <v>Partially Paid</v>
      </c>
      <c r="M507" s="5" t="s">
        <v>29</v>
      </c>
      <c r="N507"/>
      <c r="O507"/>
      <c r="P507"/>
      <c r="Q507"/>
      <c r="R507"/>
      <c r="S507"/>
      <c r="T507"/>
      <c r="U507"/>
      <c r="V507"/>
      <c r="W507"/>
    </row>
    <row r="508" spans="1:23" ht="15.4">
      <c r="A508" s="5">
        <v>349</v>
      </c>
      <c r="B508" s="5">
        <v>18349</v>
      </c>
      <c r="C508" s="5" t="s">
        <v>604</v>
      </c>
      <c r="D508" s="5" t="s">
        <v>605</v>
      </c>
      <c r="E508" s="5" t="s">
        <v>9</v>
      </c>
      <c r="F508" s="5" t="s">
        <v>1363</v>
      </c>
      <c r="G508" s="8">
        <v>45503</v>
      </c>
      <c r="H508" s="8" t="str">
        <f t="shared" si="7"/>
        <v>Jul</v>
      </c>
      <c r="I508" s="5">
        <v>7500</v>
      </c>
      <c r="J508" s="5">
        <v>7500</v>
      </c>
      <c r="K508" s="5">
        <f>student_data[[#This Row],[Total Fee]]-student_data[[#This Row],[Deposit Fee]]</f>
        <v>0</v>
      </c>
      <c r="L508" s="5" t="str">
        <f>IF(student_data[[#This Row],[Outstanding Fee]]=0,"Paid",IF(student_data[[#This Row],[Deposit Fee]]=0,"Unpaid","Partially Paid"))</f>
        <v>Paid</v>
      </c>
      <c r="M508" s="5" t="s">
        <v>10</v>
      </c>
      <c r="N508"/>
      <c r="O508"/>
      <c r="P508"/>
      <c r="Q508"/>
      <c r="R508"/>
      <c r="S508"/>
      <c r="T508"/>
      <c r="U508"/>
      <c r="V508"/>
      <c r="W508"/>
    </row>
    <row r="509" spans="1:23" ht="15.4">
      <c r="A509" s="5">
        <v>350</v>
      </c>
      <c r="B509" s="5">
        <v>18350</v>
      </c>
      <c r="C509" s="5" t="s">
        <v>606</v>
      </c>
      <c r="D509" s="5" t="s">
        <v>41</v>
      </c>
      <c r="E509" s="5" t="s">
        <v>9</v>
      </c>
      <c r="F509" s="5" t="s">
        <v>1363</v>
      </c>
      <c r="G509" s="8">
        <v>45503</v>
      </c>
      <c r="H509" s="8" t="str">
        <f t="shared" si="7"/>
        <v>Jul</v>
      </c>
      <c r="I509" s="5">
        <v>7500</v>
      </c>
      <c r="J509" s="5">
        <v>7100</v>
      </c>
      <c r="K509" s="5">
        <f>student_data[[#This Row],[Total Fee]]-student_data[[#This Row],[Deposit Fee]]</f>
        <v>400</v>
      </c>
      <c r="L509" s="5" t="str">
        <f>IF(student_data[[#This Row],[Outstanding Fee]]=0,"Paid",IF(student_data[[#This Row],[Deposit Fee]]=0,"Unpaid","Partially Paid"))</f>
        <v>Partially Paid</v>
      </c>
      <c r="M509" s="5" t="s">
        <v>13</v>
      </c>
      <c r="N509"/>
      <c r="O509"/>
      <c r="P509"/>
      <c r="Q509"/>
      <c r="R509"/>
      <c r="S509"/>
      <c r="T509"/>
      <c r="U509"/>
      <c r="V509"/>
      <c r="W509"/>
    </row>
    <row r="510" spans="1:23" ht="15.4">
      <c r="A510" s="5">
        <v>351</v>
      </c>
      <c r="B510" s="5">
        <v>18351</v>
      </c>
      <c r="C510" s="5" t="s">
        <v>607</v>
      </c>
      <c r="D510" s="5" t="s">
        <v>608</v>
      </c>
      <c r="E510" s="5" t="s">
        <v>25</v>
      </c>
      <c r="F510" s="5" t="s">
        <v>1363</v>
      </c>
      <c r="G510" s="8">
        <v>45503</v>
      </c>
      <c r="H510" s="8" t="str">
        <f t="shared" si="7"/>
        <v>Jul</v>
      </c>
      <c r="I510" s="5">
        <v>7500</v>
      </c>
      <c r="J510" s="5">
        <v>7500</v>
      </c>
      <c r="K510" s="5">
        <f>student_data[[#This Row],[Total Fee]]-student_data[[#This Row],[Deposit Fee]]</f>
        <v>0</v>
      </c>
      <c r="L510" s="5" t="str">
        <f>IF(student_data[[#This Row],[Outstanding Fee]]=0,"Paid",IF(student_data[[#This Row],[Deposit Fee]]=0,"Unpaid","Partially Paid"))</f>
        <v>Paid</v>
      </c>
      <c r="M510" s="5" t="s">
        <v>38</v>
      </c>
      <c r="N510"/>
      <c r="O510"/>
      <c r="P510"/>
      <c r="Q510"/>
      <c r="R510"/>
      <c r="S510"/>
      <c r="T510"/>
      <c r="U510"/>
      <c r="V510"/>
      <c r="W510"/>
    </row>
    <row r="511" spans="1:23" ht="15.4">
      <c r="A511" s="5">
        <v>352</v>
      </c>
      <c r="B511" s="5">
        <v>18352</v>
      </c>
      <c r="C511" s="5" t="s">
        <v>609</v>
      </c>
      <c r="D511" s="5" t="s">
        <v>117</v>
      </c>
      <c r="E511" s="5" t="s">
        <v>25</v>
      </c>
      <c r="F511" s="5" t="s">
        <v>1363</v>
      </c>
      <c r="G511" s="8">
        <v>45503</v>
      </c>
      <c r="H511" s="8" t="str">
        <f t="shared" si="7"/>
        <v>Jul</v>
      </c>
      <c r="I511" s="5">
        <v>7500</v>
      </c>
      <c r="J511" s="5">
        <v>7500</v>
      </c>
      <c r="K511" s="5">
        <f>student_data[[#This Row],[Total Fee]]-student_data[[#This Row],[Deposit Fee]]</f>
        <v>0</v>
      </c>
      <c r="L511" s="5" t="str">
        <f>IF(student_data[[#This Row],[Outstanding Fee]]=0,"Paid",IF(student_data[[#This Row],[Deposit Fee]]=0,"Unpaid","Partially Paid"))</f>
        <v>Paid</v>
      </c>
      <c r="M511" s="5" t="s">
        <v>78</v>
      </c>
      <c r="N511"/>
      <c r="O511"/>
      <c r="P511"/>
      <c r="Q511"/>
      <c r="R511"/>
      <c r="S511"/>
      <c r="T511"/>
      <c r="U511"/>
      <c r="V511"/>
      <c r="W511"/>
    </row>
    <row r="512" spans="1:23" ht="15.4">
      <c r="A512" s="5">
        <v>353</v>
      </c>
      <c r="B512" s="5">
        <v>18353</v>
      </c>
      <c r="C512" s="5" t="s">
        <v>610</v>
      </c>
      <c r="D512" s="5" t="s">
        <v>611</v>
      </c>
      <c r="E512" s="5" t="s">
        <v>25</v>
      </c>
      <c r="F512" s="5" t="s">
        <v>1363</v>
      </c>
      <c r="G512" s="8">
        <v>45503</v>
      </c>
      <c r="H512" s="8" t="str">
        <f t="shared" si="7"/>
        <v>Jul</v>
      </c>
      <c r="I512" s="5">
        <v>7500</v>
      </c>
      <c r="J512" s="5">
        <v>6900</v>
      </c>
      <c r="K512" s="5">
        <f>student_data[[#This Row],[Total Fee]]-student_data[[#This Row],[Deposit Fee]]</f>
        <v>600</v>
      </c>
      <c r="L512" s="5" t="str">
        <f>IF(student_data[[#This Row],[Outstanding Fee]]=0,"Paid",IF(student_data[[#This Row],[Deposit Fee]]=0,"Unpaid","Partially Paid"))</f>
        <v>Partially Paid</v>
      </c>
      <c r="M512" s="5" t="s">
        <v>16</v>
      </c>
      <c r="N512"/>
      <c r="O512"/>
      <c r="P512"/>
      <c r="Q512"/>
      <c r="R512"/>
      <c r="S512"/>
      <c r="T512"/>
      <c r="U512"/>
      <c r="V512"/>
      <c r="W512"/>
    </row>
    <row r="513" spans="1:23" ht="15.4">
      <c r="A513" s="5">
        <v>354</v>
      </c>
      <c r="B513" s="5">
        <v>18354</v>
      </c>
      <c r="C513" s="5" t="s">
        <v>612</v>
      </c>
      <c r="D513" s="5" t="s">
        <v>613</v>
      </c>
      <c r="E513" s="5" t="s">
        <v>9</v>
      </c>
      <c r="F513" s="5" t="s">
        <v>1363</v>
      </c>
      <c r="G513" s="8">
        <v>45503</v>
      </c>
      <c r="H513" s="8" t="str">
        <f t="shared" si="7"/>
        <v>Jul</v>
      </c>
      <c r="I513" s="5">
        <v>7500</v>
      </c>
      <c r="J513" s="5">
        <v>6900</v>
      </c>
      <c r="K513" s="5">
        <f>student_data[[#This Row],[Total Fee]]-student_data[[#This Row],[Deposit Fee]]</f>
        <v>600</v>
      </c>
      <c r="L513" s="5" t="str">
        <f>IF(student_data[[#This Row],[Outstanding Fee]]=0,"Paid",IF(student_data[[#This Row],[Deposit Fee]]=0,"Unpaid","Partially Paid"))</f>
        <v>Partially Paid</v>
      </c>
      <c r="M513" s="5" t="s">
        <v>19</v>
      </c>
      <c r="N513"/>
      <c r="O513"/>
      <c r="P513"/>
      <c r="Q513"/>
      <c r="R513"/>
      <c r="S513"/>
      <c r="T513"/>
      <c r="U513"/>
      <c r="V513"/>
      <c r="W513"/>
    </row>
    <row r="514" spans="1:23" ht="15.4">
      <c r="A514" s="5">
        <v>355</v>
      </c>
      <c r="B514" s="5">
        <v>18355</v>
      </c>
      <c r="C514" s="5" t="s">
        <v>614</v>
      </c>
      <c r="D514" s="5" t="s">
        <v>330</v>
      </c>
      <c r="E514" s="5" t="s">
        <v>9</v>
      </c>
      <c r="F514" s="5" t="s">
        <v>1363</v>
      </c>
      <c r="G514" s="8">
        <v>45503</v>
      </c>
      <c r="H514" s="8" t="str">
        <f t="shared" ref="H514:H577" si="8">TEXT(G514,"mmm")</f>
        <v>Jul</v>
      </c>
      <c r="I514" s="5">
        <v>7500</v>
      </c>
      <c r="J514" s="5">
        <v>7500</v>
      </c>
      <c r="K514" s="5">
        <f>student_data[[#This Row],[Total Fee]]-student_data[[#This Row],[Deposit Fee]]</f>
        <v>0</v>
      </c>
      <c r="L514" s="5" t="str">
        <f>IF(student_data[[#This Row],[Outstanding Fee]]=0,"Paid",IF(student_data[[#This Row],[Deposit Fee]]=0,"Unpaid","Partially Paid"))</f>
        <v>Paid</v>
      </c>
      <c r="M514" s="5" t="s">
        <v>47</v>
      </c>
      <c r="N514"/>
      <c r="O514"/>
      <c r="P514"/>
      <c r="Q514"/>
      <c r="R514"/>
      <c r="S514"/>
      <c r="T514"/>
      <c r="U514"/>
      <c r="V514"/>
      <c r="W514"/>
    </row>
    <row r="515" spans="1:23" ht="15.4">
      <c r="A515" s="5">
        <v>356</v>
      </c>
      <c r="B515" s="5">
        <v>18356</v>
      </c>
      <c r="C515" s="5" t="s">
        <v>615</v>
      </c>
      <c r="D515" s="5" t="s">
        <v>616</v>
      </c>
      <c r="E515" s="5" t="s">
        <v>9</v>
      </c>
      <c r="F515" s="5" t="s">
        <v>1363</v>
      </c>
      <c r="G515" s="8">
        <v>45503</v>
      </c>
      <c r="H515" s="8" t="str">
        <f t="shared" si="8"/>
        <v>Jul</v>
      </c>
      <c r="I515" s="5">
        <v>7500</v>
      </c>
      <c r="J515" s="5">
        <v>6900</v>
      </c>
      <c r="K515" s="5">
        <f>student_data[[#This Row],[Total Fee]]-student_data[[#This Row],[Deposit Fee]]</f>
        <v>600</v>
      </c>
      <c r="L515" s="5" t="str">
        <f>IF(student_data[[#This Row],[Outstanding Fee]]=0,"Paid",IF(student_data[[#This Row],[Deposit Fee]]=0,"Unpaid","Partially Paid"))</f>
        <v>Partially Paid</v>
      </c>
      <c r="M515" s="5" t="s">
        <v>75</v>
      </c>
      <c r="N515"/>
      <c r="O515"/>
      <c r="P515"/>
      <c r="Q515"/>
      <c r="R515"/>
      <c r="S515"/>
      <c r="T515"/>
      <c r="U515"/>
      <c r="V515"/>
      <c r="W515"/>
    </row>
    <row r="516" spans="1:23" ht="15.4">
      <c r="A516" s="5">
        <v>357</v>
      </c>
      <c r="B516" s="5">
        <v>18357</v>
      </c>
      <c r="C516" s="5" t="s">
        <v>617</v>
      </c>
      <c r="D516" s="5" t="s">
        <v>82</v>
      </c>
      <c r="E516" s="5" t="s">
        <v>9</v>
      </c>
      <c r="F516" s="5" t="s">
        <v>1363</v>
      </c>
      <c r="G516" s="8">
        <v>45504</v>
      </c>
      <c r="H516" s="8" t="str">
        <f t="shared" si="8"/>
        <v>Jul</v>
      </c>
      <c r="I516" s="5">
        <v>7500</v>
      </c>
      <c r="J516" s="5">
        <v>7500</v>
      </c>
      <c r="K516" s="5">
        <f>student_data[[#This Row],[Total Fee]]-student_data[[#This Row],[Deposit Fee]]</f>
        <v>0</v>
      </c>
      <c r="L516" s="5" t="str">
        <f>IF(student_data[[#This Row],[Outstanding Fee]]=0,"Paid",IF(student_data[[#This Row],[Deposit Fee]]=0,"Unpaid","Partially Paid"))</f>
        <v>Paid</v>
      </c>
      <c r="M516" s="5" t="s">
        <v>89</v>
      </c>
      <c r="N516"/>
      <c r="O516"/>
      <c r="P516"/>
      <c r="Q516"/>
      <c r="R516"/>
      <c r="S516"/>
      <c r="T516"/>
      <c r="U516"/>
      <c r="V516"/>
      <c r="W516"/>
    </row>
    <row r="517" spans="1:23" ht="15.4">
      <c r="A517" s="5">
        <v>358</v>
      </c>
      <c r="B517" s="5">
        <v>18358</v>
      </c>
      <c r="C517" s="5" t="s">
        <v>618</v>
      </c>
      <c r="D517" s="5" t="s">
        <v>619</v>
      </c>
      <c r="E517" s="5" t="s">
        <v>25</v>
      </c>
      <c r="F517" s="5" t="s">
        <v>1363</v>
      </c>
      <c r="G517" s="8">
        <v>45504</v>
      </c>
      <c r="H517" s="8" t="str">
        <f t="shared" si="8"/>
        <v>Jul</v>
      </c>
      <c r="I517" s="5">
        <v>7500</v>
      </c>
      <c r="J517" s="5">
        <v>7100</v>
      </c>
      <c r="K517" s="5">
        <f>student_data[[#This Row],[Total Fee]]-student_data[[#This Row],[Deposit Fee]]</f>
        <v>400</v>
      </c>
      <c r="L517" s="5" t="str">
        <f>IF(student_data[[#This Row],[Outstanding Fee]]=0,"Paid",IF(student_data[[#This Row],[Deposit Fee]]=0,"Unpaid","Partially Paid"))</f>
        <v>Partially Paid</v>
      </c>
      <c r="M517" s="5" t="s">
        <v>29</v>
      </c>
      <c r="N517"/>
      <c r="O517"/>
      <c r="P517"/>
      <c r="Q517"/>
      <c r="R517"/>
      <c r="S517"/>
      <c r="T517"/>
      <c r="U517"/>
      <c r="V517"/>
      <c r="W517"/>
    </row>
    <row r="518" spans="1:23" ht="15.4">
      <c r="A518" s="5">
        <v>359</v>
      </c>
      <c r="B518" s="5">
        <v>18359</v>
      </c>
      <c r="C518" s="5" t="s">
        <v>620</v>
      </c>
      <c r="D518" s="5" t="s">
        <v>621</v>
      </c>
      <c r="E518" s="5" t="s">
        <v>25</v>
      </c>
      <c r="F518" s="5" t="s">
        <v>1363</v>
      </c>
      <c r="G518" s="8">
        <v>45504</v>
      </c>
      <c r="H518" s="8" t="str">
        <f t="shared" si="8"/>
        <v>Jul</v>
      </c>
      <c r="I518" s="5">
        <v>7500</v>
      </c>
      <c r="J518" s="5">
        <v>7100</v>
      </c>
      <c r="K518" s="5">
        <f>student_data[[#This Row],[Total Fee]]-student_data[[#This Row],[Deposit Fee]]</f>
        <v>400</v>
      </c>
      <c r="L518" s="5" t="str">
        <f>IF(student_data[[#This Row],[Outstanding Fee]]=0,"Paid",IF(student_data[[#This Row],[Deposit Fee]]=0,"Unpaid","Partially Paid"))</f>
        <v>Partially Paid</v>
      </c>
      <c r="M518" s="5" t="s">
        <v>75</v>
      </c>
      <c r="N518"/>
      <c r="O518"/>
      <c r="P518"/>
      <c r="Q518"/>
      <c r="R518"/>
      <c r="S518"/>
      <c r="T518"/>
      <c r="U518"/>
      <c r="V518"/>
      <c r="W518"/>
    </row>
    <row r="519" spans="1:23" ht="15.4">
      <c r="A519" s="5">
        <v>360</v>
      </c>
      <c r="B519" s="5">
        <v>18360</v>
      </c>
      <c r="C519" s="5" t="s">
        <v>622</v>
      </c>
      <c r="D519" s="5" t="s">
        <v>623</v>
      </c>
      <c r="E519" s="5" t="s">
        <v>25</v>
      </c>
      <c r="F519" s="5" t="s">
        <v>1363</v>
      </c>
      <c r="G519" s="8">
        <v>45504</v>
      </c>
      <c r="H519" s="8" t="str">
        <f t="shared" si="8"/>
        <v>Jul</v>
      </c>
      <c r="I519" s="5">
        <v>7500</v>
      </c>
      <c r="J519" s="5">
        <v>7500</v>
      </c>
      <c r="K519" s="5">
        <f>student_data[[#This Row],[Total Fee]]-student_data[[#This Row],[Deposit Fee]]</f>
        <v>0</v>
      </c>
      <c r="L519" s="5" t="str">
        <f>IF(student_data[[#This Row],[Outstanding Fee]]=0,"Paid",IF(student_data[[#This Row],[Deposit Fee]]=0,"Unpaid","Partially Paid"))</f>
        <v>Paid</v>
      </c>
      <c r="M519" s="5" t="s">
        <v>75</v>
      </c>
      <c r="N519"/>
      <c r="O519"/>
      <c r="P519"/>
      <c r="Q519"/>
      <c r="R519"/>
      <c r="S519"/>
      <c r="T519"/>
      <c r="U519"/>
      <c r="V519"/>
      <c r="W519"/>
    </row>
    <row r="520" spans="1:23" ht="15.4">
      <c r="A520" s="5">
        <v>361</v>
      </c>
      <c r="B520" s="5">
        <v>18361</v>
      </c>
      <c r="C520" s="5" t="s">
        <v>624</v>
      </c>
      <c r="D520" s="5" t="s">
        <v>625</v>
      </c>
      <c r="E520" s="5" t="s">
        <v>9</v>
      </c>
      <c r="F520" s="5" t="s">
        <v>1363</v>
      </c>
      <c r="G520" s="8">
        <v>45504</v>
      </c>
      <c r="H520" s="8" t="str">
        <f t="shared" si="8"/>
        <v>Jul</v>
      </c>
      <c r="I520" s="5">
        <v>7500</v>
      </c>
      <c r="J520" s="5">
        <v>6900</v>
      </c>
      <c r="K520" s="5">
        <f>student_data[[#This Row],[Total Fee]]-student_data[[#This Row],[Deposit Fee]]</f>
        <v>600</v>
      </c>
      <c r="L520" s="5" t="str">
        <f>IF(student_data[[#This Row],[Outstanding Fee]]=0,"Paid",IF(student_data[[#This Row],[Deposit Fee]]=0,"Unpaid","Partially Paid"))</f>
        <v>Partially Paid</v>
      </c>
      <c r="M520" s="5" t="s">
        <v>19</v>
      </c>
      <c r="N520"/>
      <c r="O520"/>
      <c r="P520"/>
      <c r="Q520"/>
      <c r="R520"/>
      <c r="S520"/>
      <c r="T520"/>
      <c r="U520"/>
      <c r="V520"/>
      <c r="W520"/>
    </row>
    <row r="521" spans="1:23" ht="15.4">
      <c r="A521" s="5">
        <v>362</v>
      </c>
      <c r="B521" s="5">
        <v>18362</v>
      </c>
      <c r="C521" s="5" t="s">
        <v>626</v>
      </c>
      <c r="D521" s="5" t="s">
        <v>627</v>
      </c>
      <c r="E521" s="5" t="s">
        <v>9</v>
      </c>
      <c r="F521" s="5" t="s">
        <v>1363</v>
      </c>
      <c r="G521" s="8">
        <v>45504</v>
      </c>
      <c r="H521" s="8" t="str">
        <f t="shared" si="8"/>
        <v>Jul</v>
      </c>
      <c r="I521" s="5">
        <v>7500</v>
      </c>
      <c r="J521" s="5">
        <v>6900</v>
      </c>
      <c r="K521" s="5">
        <f>student_data[[#This Row],[Total Fee]]-student_data[[#This Row],[Deposit Fee]]</f>
        <v>600</v>
      </c>
      <c r="L521" s="5" t="str">
        <f>IF(student_data[[#This Row],[Outstanding Fee]]=0,"Paid",IF(student_data[[#This Row],[Deposit Fee]]=0,"Unpaid","Partially Paid"))</f>
        <v>Partially Paid</v>
      </c>
      <c r="M521" s="5" t="s">
        <v>47</v>
      </c>
      <c r="N521"/>
      <c r="O521"/>
      <c r="P521"/>
      <c r="Q521"/>
      <c r="R521"/>
      <c r="S521"/>
      <c r="T521"/>
      <c r="U521"/>
      <c r="V521"/>
      <c r="W521"/>
    </row>
    <row r="522" spans="1:23" ht="15.4">
      <c r="A522" s="5">
        <v>363</v>
      </c>
      <c r="B522" s="5">
        <v>18363</v>
      </c>
      <c r="C522" s="5" t="s">
        <v>628</v>
      </c>
      <c r="D522" s="5" t="s">
        <v>629</v>
      </c>
      <c r="E522" s="5" t="s">
        <v>9</v>
      </c>
      <c r="F522" s="5" t="s">
        <v>1363</v>
      </c>
      <c r="G522" s="8">
        <v>45504</v>
      </c>
      <c r="H522" s="8" t="str">
        <f t="shared" si="8"/>
        <v>Jul</v>
      </c>
      <c r="I522" s="5">
        <v>7500</v>
      </c>
      <c r="J522" s="5">
        <v>7500</v>
      </c>
      <c r="K522" s="5">
        <f>student_data[[#This Row],[Total Fee]]-student_data[[#This Row],[Deposit Fee]]</f>
        <v>0</v>
      </c>
      <c r="L522" s="5" t="str">
        <f>IF(student_data[[#This Row],[Outstanding Fee]]=0,"Paid",IF(student_data[[#This Row],[Deposit Fee]]=0,"Unpaid","Partially Paid"))</f>
        <v>Paid</v>
      </c>
      <c r="M522" s="5" t="s">
        <v>47</v>
      </c>
      <c r="N522"/>
      <c r="O522"/>
      <c r="P522"/>
      <c r="Q522"/>
      <c r="R522"/>
      <c r="S522"/>
      <c r="T522"/>
      <c r="U522"/>
      <c r="V522"/>
      <c r="W522"/>
    </row>
    <row r="523" spans="1:23" ht="15.4">
      <c r="A523" s="5">
        <v>364</v>
      </c>
      <c r="B523" s="5">
        <v>18364</v>
      </c>
      <c r="C523" s="5" t="s">
        <v>630</v>
      </c>
      <c r="D523" s="5" t="s">
        <v>378</v>
      </c>
      <c r="E523" s="5" t="s">
        <v>9</v>
      </c>
      <c r="F523" s="5" t="s">
        <v>1363</v>
      </c>
      <c r="G523" s="8">
        <v>45504</v>
      </c>
      <c r="H523" s="8" t="str">
        <f t="shared" si="8"/>
        <v>Jul</v>
      </c>
      <c r="I523" s="5">
        <v>7500</v>
      </c>
      <c r="J523" s="5">
        <v>7500</v>
      </c>
      <c r="K523" s="5">
        <f>student_data[[#This Row],[Total Fee]]-student_data[[#This Row],[Deposit Fee]]</f>
        <v>0</v>
      </c>
      <c r="L523" s="5" t="str">
        <f>IF(student_data[[#This Row],[Outstanding Fee]]=0,"Paid",IF(student_data[[#This Row],[Deposit Fee]]=0,"Unpaid","Partially Paid"))</f>
        <v>Paid</v>
      </c>
      <c r="M523" s="5" t="s">
        <v>78</v>
      </c>
      <c r="N523"/>
      <c r="O523"/>
      <c r="P523"/>
      <c r="Q523"/>
      <c r="R523"/>
      <c r="S523"/>
      <c r="T523"/>
      <c r="U523"/>
      <c r="V523"/>
      <c r="W523"/>
    </row>
    <row r="524" spans="1:23" ht="15.4">
      <c r="A524" s="5">
        <v>365</v>
      </c>
      <c r="B524" s="5">
        <v>18365</v>
      </c>
      <c r="C524" s="5" t="s">
        <v>631</v>
      </c>
      <c r="D524" s="5" t="s">
        <v>632</v>
      </c>
      <c r="E524" s="5" t="s">
        <v>9</v>
      </c>
      <c r="F524" s="5" t="s">
        <v>1363</v>
      </c>
      <c r="G524" s="8">
        <v>45504</v>
      </c>
      <c r="H524" s="8" t="str">
        <f t="shared" si="8"/>
        <v>Jul</v>
      </c>
      <c r="I524" s="5">
        <v>7500</v>
      </c>
      <c r="J524" s="5">
        <v>6900</v>
      </c>
      <c r="K524" s="5">
        <f>student_data[[#This Row],[Total Fee]]-student_data[[#This Row],[Deposit Fee]]</f>
        <v>600</v>
      </c>
      <c r="L524" s="5" t="str">
        <f>IF(student_data[[#This Row],[Outstanding Fee]]=0,"Paid",IF(student_data[[#This Row],[Deposit Fee]]=0,"Unpaid","Partially Paid"))</f>
        <v>Partially Paid</v>
      </c>
      <c r="M524" s="5" t="s">
        <v>16</v>
      </c>
      <c r="N524"/>
      <c r="O524"/>
      <c r="P524"/>
      <c r="Q524"/>
      <c r="R524"/>
      <c r="S524"/>
      <c r="T524"/>
      <c r="U524"/>
      <c r="V524"/>
      <c r="W524"/>
    </row>
    <row r="525" spans="1:23" ht="15.4">
      <c r="A525" s="5">
        <v>366</v>
      </c>
      <c r="B525" s="5">
        <v>18366</v>
      </c>
      <c r="C525" s="5" t="s">
        <v>633</v>
      </c>
      <c r="D525" s="5" t="s">
        <v>634</v>
      </c>
      <c r="E525" s="5" t="s">
        <v>9</v>
      </c>
      <c r="F525" s="5" t="s">
        <v>1363</v>
      </c>
      <c r="G525" s="8">
        <v>45505</v>
      </c>
      <c r="H525" s="8" t="str">
        <f t="shared" si="8"/>
        <v>Aug</v>
      </c>
      <c r="I525" s="5">
        <v>7500</v>
      </c>
      <c r="J525" s="5">
        <v>7500</v>
      </c>
      <c r="K525" s="5">
        <f>student_data[[#This Row],[Total Fee]]-student_data[[#This Row],[Deposit Fee]]</f>
        <v>0</v>
      </c>
      <c r="L525" s="5" t="str">
        <f>IF(student_data[[#This Row],[Outstanding Fee]]=0,"Paid",IF(student_data[[#This Row],[Deposit Fee]]=0,"Unpaid","Partially Paid"))</f>
        <v>Paid</v>
      </c>
      <c r="M525" s="5" t="s">
        <v>19</v>
      </c>
      <c r="N525"/>
      <c r="O525"/>
      <c r="P525"/>
      <c r="Q525"/>
      <c r="R525"/>
      <c r="S525"/>
      <c r="T525"/>
      <c r="U525"/>
      <c r="V525"/>
      <c r="W525"/>
    </row>
    <row r="526" spans="1:23" ht="15.4">
      <c r="A526" s="5">
        <v>367</v>
      </c>
      <c r="B526" s="5">
        <v>18367</v>
      </c>
      <c r="C526" s="5" t="s">
        <v>635</v>
      </c>
      <c r="D526" s="5" t="s">
        <v>636</v>
      </c>
      <c r="E526" s="5" t="s">
        <v>25</v>
      </c>
      <c r="F526" s="5" t="s">
        <v>1363</v>
      </c>
      <c r="G526" s="8">
        <v>45505</v>
      </c>
      <c r="H526" s="8" t="str">
        <f t="shared" si="8"/>
        <v>Aug</v>
      </c>
      <c r="I526" s="5">
        <v>7500</v>
      </c>
      <c r="J526" s="5">
        <v>6900</v>
      </c>
      <c r="K526" s="5">
        <f>student_data[[#This Row],[Total Fee]]-student_data[[#This Row],[Deposit Fee]]</f>
        <v>600</v>
      </c>
      <c r="L526" s="5" t="str">
        <f>IF(student_data[[#This Row],[Outstanding Fee]]=0,"Paid",IF(student_data[[#This Row],[Deposit Fee]]=0,"Unpaid","Partially Paid"))</f>
        <v>Partially Paid</v>
      </c>
      <c r="M526" s="5" t="s">
        <v>47</v>
      </c>
      <c r="N526"/>
      <c r="O526"/>
      <c r="P526"/>
      <c r="Q526"/>
      <c r="R526"/>
      <c r="S526"/>
      <c r="T526"/>
      <c r="U526"/>
      <c r="V526"/>
      <c r="W526"/>
    </row>
    <row r="527" spans="1:23" ht="15.4">
      <c r="A527" s="5">
        <v>368</v>
      </c>
      <c r="B527" s="5">
        <v>18368</v>
      </c>
      <c r="C527" s="5" t="s">
        <v>396</v>
      </c>
      <c r="D527" s="5" t="s">
        <v>637</v>
      </c>
      <c r="E527" s="5" t="s">
        <v>25</v>
      </c>
      <c r="F527" s="5" t="s">
        <v>1363</v>
      </c>
      <c r="G527" s="8">
        <v>45505</v>
      </c>
      <c r="H527" s="8" t="str">
        <f t="shared" si="8"/>
        <v>Aug</v>
      </c>
      <c r="I527" s="5">
        <v>7500</v>
      </c>
      <c r="J527" s="5">
        <v>7500</v>
      </c>
      <c r="K527" s="5">
        <f>student_data[[#This Row],[Total Fee]]-student_data[[#This Row],[Deposit Fee]]</f>
        <v>0</v>
      </c>
      <c r="L527" s="5" t="str">
        <f>IF(student_data[[#This Row],[Outstanding Fee]]=0,"Paid",IF(student_data[[#This Row],[Deposit Fee]]=0,"Unpaid","Partially Paid"))</f>
        <v>Paid</v>
      </c>
      <c r="M527" s="5" t="s">
        <v>75</v>
      </c>
      <c r="N527"/>
      <c r="O527"/>
      <c r="P527"/>
      <c r="Q527"/>
      <c r="R527"/>
      <c r="S527"/>
      <c r="T527"/>
      <c r="U527"/>
      <c r="V527"/>
      <c r="W527"/>
    </row>
    <row r="528" spans="1:23" ht="15.4">
      <c r="A528" s="5">
        <v>369</v>
      </c>
      <c r="B528" s="5">
        <v>18369</v>
      </c>
      <c r="C528" s="5" t="s">
        <v>638</v>
      </c>
      <c r="D528" s="5" t="s">
        <v>639</v>
      </c>
      <c r="E528" s="5" t="s">
        <v>9</v>
      </c>
      <c r="F528" s="5" t="s">
        <v>1363</v>
      </c>
      <c r="G528" s="8">
        <v>45505</v>
      </c>
      <c r="H528" s="8" t="str">
        <f t="shared" si="8"/>
        <v>Aug</v>
      </c>
      <c r="I528" s="5">
        <v>7500</v>
      </c>
      <c r="J528" s="5">
        <v>7500</v>
      </c>
      <c r="K528" s="5">
        <f>student_data[[#This Row],[Total Fee]]-student_data[[#This Row],[Deposit Fee]]</f>
        <v>0</v>
      </c>
      <c r="L528" s="5" t="str">
        <f>IF(student_data[[#This Row],[Outstanding Fee]]=0,"Paid",IF(student_data[[#This Row],[Deposit Fee]]=0,"Unpaid","Partially Paid"))</f>
        <v>Paid</v>
      </c>
      <c r="M528" s="5" t="s">
        <v>89</v>
      </c>
      <c r="N528"/>
      <c r="O528"/>
      <c r="P528"/>
      <c r="Q528"/>
      <c r="R528"/>
      <c r="S528"/>
      <c r="T528"/>
      <c r="U528"/>
      <c r="V528"/>
      <c r="W528"/>
    </row>
    <row r="529" spans="1:23" ht="15.4">
      <c r="A529" s="5">
        <v>370</v>
      </c>
      <c r="B529" s="5">
        <v>18370</v>
      </c>
      <c r="C529" s="5" t="s">
        <v>640</v>
      </c>
      <c r="D529" s="5" t="s">
        <v>641</v>
      </c>
      <c r="E529" s="5" t="s">
        <v>25</v>
      </c>
      <c r="F529" s="5" t="s">
        <v>1363</v>
      </c>
      <c r="G529" s="8">
        <v>45505</v>
      </c>
      <c r="H529" s="8" t="str">
        <f t="shared" si="8"/>
        <v>Aug</v>
      </c>
      <c r="I529" s="5">
        <v>7500</v>
      </c>
      <c r="J529" s="5">
        <v>6900</v>
      </c>
      <c r="K529" s="5">
        <f>student_data[[#This Row],[Total Fee]]-student_data[[#This Row],[Deposit Fee]]</f>
        <v>600</v>
      </c>
      <c r="L529" s="5" t="str">
        <f>IF(student_data[[#This Row],[Outstanding Fee]]=0,"Paid",IF(student_data[[#This Row],[Deposit Fee]]=0,"Unpaid","Partially Paid"))</f>
        <v>Partially Paid</v>
      </c>
      <c r="M529" s="5" t="s">
        <v>29</v>
      </c>
      <c r="N529"/>
      <c r="O529"/>
      <c r="P529"/>
      <c r="Q529"/>
      <c r="R529"/>
      <c r="S529"/>
      <c r="T529"/>
      <c r="U529"/>
      <c r="V529"/>
      <c r="W529"/>
    </row>
    <row r="530" spans="1:23" ht="15.4">
      <c r="A530" s="5">
        <v>371</v>
      </c>
      <c r="B530" s="5">
        <v>18371</v>
      </c>
      <c r="C530" s="5" t="s">
        <v>642</v>
      </c>
      <c r="D530" s="5" t="s">
        <v>117</v>
      </c>
      <c r="E530" s="5" t="s">
        <v>9</v>
      </c>
      <c r="F530" s="5" t="s">
        <v>1363</v>
      </c>
      <c r="G530" s="8">
        <v>45505</v>
      </c>
      <c r="H530" s="8" t="str">
        <f t="shared" si="8"/>
        <v>Aug</v>
      </c>
      <c r="I530" s="5">
        <v>7500</v>
      </c>
      <c r="J530" s="5">
        <v>7500</v>
      </c>
      <c r="K530" s="5">
        <f>student_data[[#This Row],[Total Fee]]-student_data[[#This Row],[Deposit Fee]]</f>
        <v>0</v>
      </c>
      <c r="L530" s="5" t="str">
        <f>IF(student_data[[#This Row],[Outstanding Fee]]=0,"Paid",IF(student_data[[#This Row],[Deposit Fee]]=0,"Unpaid","Partially Paid"))</f>
        <v>Paid</v>
      </c>
      <c r="M530" s="5" t="s">
        <v>75</v>
      </c>
      <c r="N530"/>
      <c r="O530"/>
      <c r="P530"/>
      <c r="Q530"/>
      <c r="R530"/>
      <c r="S530"/>
      <c r="T530"/>
      <c r="U530"/>
      <c r="V530"/>
      <c r="W530"/>
    </row>
    <row r="531" spans="1:23" ht="15.4">
      <c r="A531" s="5">
        <v>372</v>
      </c>
      <c r="B531" s="5">
        <v>18372</v>
      </c>
      <c r="C531" s="5" t="s">
        <v>443</v>
      </c>
      <c r="D531" s="5" t="s">
        <v>643</v>
      </c>
      <c r="E531" s="5" t="s">
        <v>9</v>
      </c>
      <c r="F531" s="5" t="s">
        <v>1363</v>
      </c>
      <c r="G531" s="8">
        <v>45505</v>
      </c>
      <c r="H531" s="8" t="str">
        <f t="shared" si="8"/>
        <v>Aug</v>
      </c>
      <c r="I531" s="5">
        <v>7500</v>
      </c>
      <c r="J531" s="5">
        <v>450</v>
      </c>
      <c r="K531" s="5">
        <f>student_data[[#This Row],[Total Fee]]-student_data[[#This Row],[Deposit Fee]]</f>
        <v>7050</v>
      </c>
      <c r="L531" s="5" t="str">
        <f>IF(student_data[[#This Row],[Outstanding Fee]]=0,"Paid",IF(student_data[[#This Row],[Deposit Fee]]=0,"Unpaid","Partially Paid"))</f>
        <v>Partially Paid</v>
      </c>
      <c r="M531" s="5" t="s">
        <v>75</v>
      </c>
      <c r="N531"/>
      <c r="O531"/>
      <c r="P531"/>
      <c r="Q531"/>
      <c r="R531"/>
      <c r="S531"/>
      <c r="T531"/>
      <c r="U531"/>
      <c r="V531"/>
      <c r="W531"/>
    </row>
    <row r="532" spans="1:23" ht="15.4">
      <c r="A532" s="5">
        <v>373</v>
      </c>
      <c r="B532" s="5">
        <v>18373</v>
      </c>
      <c r="C532" s="5" t="s">
        <v>644</v>
      </c>
      <c r="D532" s="5" t="s">
        <v>645</v>
      </c>
      <c r="E532" s="5" t="s">
        <v>9</v>
      </c>
      <c r="F532" s="5" t="s">
        <v>1363</v>
      </c>
      <c r="G532" s="8">
        <v>45506</v>
      </c>
      <c r="H532" s="8" t="str">
        <f t="shared" si="8"/>
        <v>Aug</v>
      </c>
      <c r="I532" s="5">
        <v>7500</v>
      </c>
      <c r="J532" s="5">
        <v>7100</v>
      </c>
      <c r="K532" s="5">
        <f>student_data[[#This Row],[Total Fee]]-student_data[[#This Row],[Deposit Fee]]</f>
        <v>400</v>
      </c>
      <c r="L532" s="5" t="str">
        <f>IF(student_data[[#This Row],[Outstanding Fee]]=0,"Paid",IF(student_data[[#This Row],[Deposit Fee]]=0,"Unpaid","Partially Paid"))</f>
        <v>Partially Paid</v>
      </c>
      <c r="M532" s="5" t="s">
        <v>19</v>
      </c>
      <c r="N532"/>
      <c r="O532"/>
      <c r="P532"/>
      <c r="Q532"/>
      <c r="R532"/>
      <c r="S532"/>
      <c r="T532"/>
      <c r="U532"/>
      <c r="V532"/>
      <c r="W532"/>
    </row>
    <row r="533" spans="1:23" ht="15.4">
      <c r="A533" s="5">
        <v>374</v>
      </c>
      <c r="B533" s="5">
        <v>18374</v>
      </c>
      <c r="C533" s="5" t="s">
        <v>646</v>
      </c>
      <c r="D533" s="5" t="s">
        <v>647</v>
      </c>
      <c r="E533" s="5" t="s">
        <v>9</v>
      </c>
      <c r="F533" s="5" t="s">
        <v>1363</v>
      </c>
      <c r="G533" s="8">
        <v>45506</v>
      </c>
      <c r="H533" s="8" t="str">
        <f t="shared" si="8"/>
        <v>Aug</v>
      </c>
      <c r="I533" s="5">
        <v>7500</v>
      </c>
      <c r="J533" s="5">
        <v>7100</v>
      </c>
      <c r="K533" s="5">
        <f>student_data[[#This Row],[Total Fee]]-student_data[[#This Row],[Deposit Fee]]</f>
        <v>400</v>
      </c>
      <c r="L533" s="5" t="str">
        <f>IF(student_data[[#This Row],[Outstanding Fee]]=0,"Paid",IF(student_data[[#This Row],[Deposit Fee]]=0,"Unpaid","Partially Paid"))</f>
        <v>Partially Paid</v>
      </c>
      <c r="M533" s="5" t="s">
        <v>47</v>
      </c>
      <c r="N533"/>
      <c r="O533"/>
      <c r="P533"/>
      <c r="Q533"/>
      <c r="R533"/>
      <c r="S533"/>
      <c r="T533"/>
      <c r="U533"/>
      <c r="V533"/>
      <c r="W533"/>
    </row>
    <row r="534" spans="1:23" ht="15.4">
      <c r="A534" s="5">
        <v>375</v>
      </c>
      <c r="B534" s="5">
        <v>18375</v>
      </c>
      <c r="C534" s="5" t="s">
        <v>481</v>
      </c>
      <c r="D534" s="5" t="s">
        <v>648</v>
      </c>
      <c r="E534" s="5" t="s">
        <v>9</v>
      </c>
      <c r="F534" s="5" t="s">
        <v>1363</v>
      </c>
      <c r="G534" s="8">
        <v>45506</v>
      </c>
      <c r="H534" s="8" t="str">
        <f t="shared" si="8"/>
        <v>Aug</v>
      </c>
      <c r="I534" s="5">
        <v>7500</v>
      </c>
      <c r="J534" s="5">
        <v>6900</v>
      </c>
      <c r="K534" s="5">
        <f>student_data[[#This Row],[Total Fee]]-student_data[[#This Row],[Deposit Fee]]</f>
        <v>600</v>
      </c>
      <c r="L534" s="5" t="str">
        <f>IF(student_data[[#This Row],[Outstanding Fee]]=0,"Paid",IF(student_data[[#This Row],[Deposit Fee]]=0,"Unpaid","Partially Paid"))</f>
        <v>Partially Paid</v>
      </c>
      <c r="M534" s="5" t="s">
        <v>19</v>
      </c>
      <c r="N534"/>
      <c r="O534"/>
      <c r="P534"/>
      <c r="Q534"/>
      <c r="R534"/>
      <c r="S534"/>
      <c r="T534"/>
      <c r="U534"/>
      <c r="V534"/>
      <c r="W534"/>
    </row>
    <row r="535" spans="1:23" ht="15.4">
      <c r="A535" s="5">
        <v>376</v>
      </c>
      <c r="B535" s="5">
        <v>18376</v>
      </c>
      <c r="C535" s="5" t="s">
        <v>649</v>
      </c>
      <c r="D535" s="5" t="s">
        <v>650</v>
      </c>
      <c r="E535" s="5" t="s">
        <v>25</v>
      </c>
      <c r="F535" s="5" t="s">
        <v>1363</v>
      </c>
      <c r="G535" s="8">
        <v>45507</v>
      </c>
      <c r="H535" s="8" t="str">
        <f t="shared" si="8"/>
        <v>Aug</v>
      </c>
      <c r="I535" s="5">
        <v>7500</v>
      </c>
      <c r="J535" s="5">
        <v>7500</v>
      </c>
      <c r="K535" s="5">
        <f>student_data[[#This Row],[Total Fee]]-student_data[[#This Row],[Deposit Fee]]</f>
        <v>0</v>
      </c>
      <c r="L535" s="5" t="str">
        <f>IF(student_data[[#This Row],[Outstanding Fee]]=0,"Paid",IF(student_data[[#This Row],[Deposit Fee]]=0,"Unpaid","Partially Paid"))</f>
        <v>Paid</v>
      </c>
      <c r="M535" s="5" t="s">
        <v>47</v>
      </c>
      <c r="N535"/>
      <c r="O535"/>
      <c r="P535"/>
      <c r="Q535"/>
      <c r="R535"/>
      <c r="S535"/>
      <c r="T535"/>
      <c r="U535"/>
      <c r="V535"/>
      <c r="W535"/>
    </row>
    <row r="536" spans="1:23" ht="15.4">
      <c r="A536" s="5">
        <v>377</v>
      </c>
      <c r="B536" s="5">
        <v>18377</v>
      </c>
      <c r="C536" s="5" t="s">
        <v>651</v>
      </c>
      <c r="D536" s="5" t="s">
        <v>652</v>
      </c>
      <c r="E536" s="5" t="s">
        <v>25</v>
      </c>
      <c r="F536" s="5" t="s">
        <v>1363</v>
      </c>
      <c r="G536" s="8">
        <v>45507</v>
      </c>
      <c r="H536" s="8" t="str">
        <f t="shared" si="8"/>
        <v>Aug</v>
      </c>
      <c r="I536" s="5">
        <v>7500</v>
      </c>
      <c r="J536" s="5">
        <v>6900</v>
      </c>
      <c r="K536" s="5">
        <f>student_data[[#This Row],[Total Fee]]-student_data[[#This Row],[Deposit Fee]]</f>
        <v>600</v>
      </c>
      <c r="L536" s="5" t="str">
        <f>IF(student_data[[#This Row],[Outstanding Fee]]=0,"Paid",IF(student_data[[#This Row],[Deposit Fee]]=0,"Unpaid","Partially Paid"))</f>
        <v>Partially Paid</v>
      </c>
      <c r="M536" s="5" t="s">
        <v>75</v>
      </c>
      <c r="N536"/>
      <c r="O536"/>
      <c r="P536"/>
      <c r="Q536"/>
      <c r="R536"/>
      <c r="S536"/>
      <c r="T536"/>
      <c r="U536"/>
      <c r="V536"/>
      <c r="W536"/>
    </row>
    <row r="537" spans="1:23" ht="15.4">
      <c r="A537" s="5">
        <v>378</v>
      </c>
      <c r="B537" s="5">
        <v>18378</v>
      </c>
      <c r="C537" s="5" t="s">
        <v>653</v>
      </c>
      <c r="D537" s="5" t="s">
        <v>654</v>
      </c>
      <c r="E537" s="5" t="s">
        <v>25</v>
      </c>
      <c r="F537" s="5" t="s">
        <v>1363</v>
      </c>
      <c r="G537" s="8">
        <v>45507</v>
      </c>
      <c r="H537" s="8" t="str">
        <f t="shared" si="8"/>
        <v>Aug</v>
      </c>
      <c r="I537" s="5">
        <v>7500</v>
      </c>
      <c r="J537" s="5">
        <v>7500</v>
      </c>
      <c r="K537" s="5">
        <f>student_data[[#This Row],[Total Fee]]-student_data[[#This Row],[Deposit Fee]]</f>
        <v>0</v>
      </c>
      <c r="L537" s="5" t="str">
        <f>IF(student_data[[#This Row],[Outstanding Fee]]=0,"Paid",IF(student_data[[#This Row],[Deposit Fee]]=0,"Unpaid","Partially Paid"))</f>
        <v>Paid</v>
      </c>
      <c r="M537" s="5" t="s">
        <v>89</v>
      </c>
      <c r="N537"/>
      <c r="O537"/>
      <c r="P537"/>
      <c r="Q537"/>
      <c r="R537"/>
      <c r="S537"/>
      <c r="T537"/>
      <c r="U537"/>
      <c r="V537"/>
      <c r="W537"/>
    </row>
    <row r="538" spans="1:23" ht="15.4">
      <c r="A538" s="5">
        <v>379</v>
      </c>
      <c r="B538" s="5">
        <v>18379</v>
      </c>
      <c r="C538" s="5" t="s">
        <v>655</v>
      </c>
      <c r="D538" s="5" t="s">
        <v>184</v>
      </c>
      <c r="E538" s="5" t="s">
        <v>9</v>
      </c>
      <c r="F538" s="5" t="s">
        <v>1363</v>
      </c>
      <c r="G538" s="8">
        <v>45509</v>
      </c>
      <c r="H538" s="8" t="str">
        <f t="shared" si="8"/>
        <v>Aug</v>
      </c>
      <c r="I538" s="5">
        <v>7500</v>
      </c>
      <c r="J538" s="5">
        <v>6900</v>
      </c>
      <c r="K538" s="5">
        <f>student_data[[#This Row],[Total Fee]]-student_data[[#This Row],[Deposit Fee]]</f>
        <v>600</v>
      </c>
      <c r="L538" s="5" t="str">
        <f>IF(student_data[[#This Row],[Outstanding Fee]]=0,"Paid",IF(student_data[[#This Row],[Deposit Fee]]=0,"Unpaid","Partially Paid"))</f>
        <v>Partially Paid</v>
      </c>
      <c r="M538" s="5" t="s">
        <v>29</v>
      </c>
      <c r="N538"/>
      <c r="O538"/>
      <c r="P538"/>
      <c r="Q538"/>
      <c r="R538"/>
      <c r="S538"/>
      <c r="T538"/>
      <c r="U538"/>
      <c r="V538"/>
      <c r="W538"/>
    </row>
    <row r="539" spans="1:23" ht="15.4">
      <c r="A539" s="5">
        <v>380</v>
      </c>
      <c r="B539" s="5">
        <v>18380</v>
      </c>
      <c r="C539" s="5" t="s">
        <v>656</v>
      </c>
      <c r="D539" s="5" t="s">
        <v>657</v>
      </c>
      <c r="E539" s="5" t="s">
        <v>9</v>
      </c>
      <c r="F539" s="5" t="s">
        <v>1363</v>
      </c>
      <c r="G539" s="8">
        <v>45509</v>
      </c>
      <c r="H539" s="8" t="str">
        <f t="shared" si="8"/>
        <v>Aug</v>
      </c>
      <c r="I539" s="5">
        <v>7500</v>
      </c>
      <c r="J539" s="5">
        <v>7500</v>
      </c>
      <c r="K539" s="5">
        <f>student_data[[#This Row],[Total Fee]]-student_data[[#This Row],[Deposit Fee]]</f>
        <v>0</v>
      </c>
      <c r="L539" s="5" t="str">
        <f>IF(student_data[[#This Row],[Outstanding Fee]]=0,"Paid",IF(student_data[[#This Row],[Deposit Fee]]=0,"Unpaid","Partially Paid"))</f>
        <v>Paid</v>
      </c>
      <c r="M539" s="5" t="s">
        <v>10</v>
      </c>
      <c r="N539"/>
      <c r="O539"/>
      <c r="P539"/>
      <c r="Q539"/>
      <c r="R539"/>
      <c r="S539"/>
      <c r="T539"/>
      <c r="U539"/>
      <c r="V539"/>
      <c r="W539"/>
    </row>
    <row r="540" spans="1:23" ht="15.4">
      <c r="A540" s="5">
        <v>381</v>
      </c>
      <c r="B540" s="5">
        <v>18381</v>
      </c>
      <c r="C540" s="5" t="s">
        <v>658</v>
      </c>
      <c r="D540" s="5" t="s">
        <v>383</v>
      </c>
      <c r="E540" s="5" t="s">
        <v>9</v>
      </c>
      <c r="F540" s="5" t="s">
        <v>1363</v>
      </c>
      <c r="G540" s="8">
        <v>45509</v>
      </c>
      <c r="H540" s="8" t="str">
        <f t="shared" si="8"/>
        <v>Aug</v>
      </c>
      <c r="I540" s="5">
        <v>7500</v>
      </c>
      <c r="J540" s="5">
        <v>6900</v>
      </c>
      <c r="K540" s="5">
        <f>student_data[[#This Row],[Total Fee]]-student_data[[#This Row],[Deposit Fee]]</f>
        <v>600</v>
      </c>
      <c r="L540" s="5" t="str">
        <f>IF(student_data[[#This Row],[Outstanding Fee]]=0,"Paid",IF(student_data[[#This Row],[Deposit Fee]]=0,"Unpaid","Partially Paid"))</f>
        <v>Partially Paid</v>
      </c>
      <c r="M540" s="5" t="s">
        <v>13</v>
      </c>
      <c r="N540"/>
      <c r="O540"/>
      <c r="P540"/>
      <c r="Q540"/>
      <c r="R540"/>
      <c r="S540"/>
      <c r="T540"/>
      <c r="U540"/>
      <c r="V540"/>
      <c r="W540"/>
    </row>
    <row r="541" spans="1:23" ht="15.4">
      <c r="A541" s="5">
        <v>382</v>
      </c>
      <c r="B541" s="5">
        <v>18382</v>
      </c>
      <c r="C541" s="5" t="s">
        <v>659</v>
      </c>
      <c r="D541" s="5" t="s">
        <v>660</v>
      </c>
      <c r="E541" s="5" t="s">
        <v>9</v>
      </c>
      <c r="F541" s="5" t="s">
        <v>1363</v>
      </c>
      <c r="G541" s="8">
        <v>45510</v>
      </c>
      <c r="H541" s="8" t="str">
        <f t="shared" si="8"/>
        <v>Aug</v>
      </c>
      <c r="I541" s="5">
        <v>7500</v>
      </c>
      <c r="J541" s="5">
        <v>7500</v>
      </c>
      <c r="K541" s="5">
        <f>student_data[[#This Row],[Total Fee]]-student_data[[#This Row],[Deposit Fee]]</f>
        <v>0</v>
      </c>
      <c r="L541" s="5" t="str">
        <f>IF(student_data[[#This Row],[Outstanding Fee]]=0,"Paid",IF(student_data[[#This Row],[Deposit Fee]]=0,"Unpaid","Partially Paid"))</f>
        <v>Paid</v>
      </c>
      <c r="M541" s="5" t="s">
        <v>38</v>
      </c>
      <c r="N541"/>
      <c r="O541"/>
      <c r="P541"/>
      <c r="Q541"/>
      <c r="R541"/>
      <c r="S541"/>
      <c r="T541"/>
      <c r="U541"/>
      <c r="V541"/>
      <c r="W541"/>
    </row>
    <row r="542" spans="1:23" ht="15.4">
      <c r="A542" s="5">
        <v>383</v>
      </c>
      <c r="B542" s="5">
        <v>18383</v>
      </c>
      <c r="C542" s="5" t="s">
        <v>661</v>
      </c>
      <c r="D542" s="5" t="s">
        <v>662</v>
      </c>
      <c r="E542" s="5" t="s">
        <v>9</v>
      </c>
      <c r="F542" s="5" t="s">
        <v>1363</v>
      </c>
      <c r="G542" s="8">
        <v>45510</v>
      </c>
      <c r="H542" s="8" t="str">
        <f t="shared" si="8"/>
        <v>Aug</v>
      </c>
      <c r="I542" s="5">
        <v>7500</v>
      </c>
      <c r="J542" s="5">
        <v>7500</v>
      </c>
      <c r="K542" s="5">
        <f>student_data[[#This Row],[Total Fee]]-student_data[[#This Row],[Deposit Fee]]</f>
        <v>0</v>
      </c>
      <c r="L542" s="5" t="str">
        <f>IF(student_data[[#This Row],[Outstanding Fee]]=0,"Paid",IF(student_data[[#This Row],[Deposit Fee]]=0,"Unpaid","Partially Paid"))</f>
        <v>Paid</v>
      </c>
      <c r="M542" s="5" t="s">
        <v>78</v>
      </c>
      <c r="N542"/>
      <c r="O542"/>
      <c r="P542"/>
      <c r="Q542"/>
      <c r="R542"/>
      <c r="S542"/>
      <c r="T542"/>
      <c r="U542"/>
      <c r="V542"/>
      <c r="W542"/>
    </row>
    <row r="543" spans="1:23" ht="15.4">
      <c r="A543" s="5">
        <v>384</v>
      </c>
      <c r="B543" s="5">
        <v>18384</v>
      </c>
      <c r="C543" s="5" t="s">
        <v>663</v>
      </c>
      <c r="D543" s="5" t="s">
        <v>664</v>
      </c>
      <c r="E543" s="5" t="s">
        <v>25</v>
      </c>
      <c r="F543" s="5" t="s">
        <v>1363</v>
      </c>
      <c r="G543" s="8">
        <v>45510</v>
      </c>
      <c r="H543" s="8" t="str">
        <f t="shared" si="8"/>
        <v>Aug</v>
      </c>
      <c r="I543" s="5">
        <v>7500</v>
      </c>
      <c r="J543" s="5">
        <v>7500</v>
      </c>
      <c r="K543" s="5">
        <f>student_data[[#This Row],[Total Fee]]-student_data[[#This Row],[Deposit Fee]]</f>
        <v>0</v>
      </c>
      <c r="L543" s="5" t="str">
        <f>IF(student_data[[#This Row],[Outstanding Fee]]=0,"Paid",IF(student_data[[#This Row],[Deposit Fee]]=0,"Unpaid","Partially Paid"))</f>
        <v>Paid</v>
      </c>
      <c r="M543" s="5" t="s">
        <v>16</v>
      </c>
      <c r="N543"/>
      <c r="O543"/>
      <c r="P543"/>
      <c r="Q543"/>
      <c r="R543"/>
      <c r="S543"/>
      <c r="T543"/>
      <c r="U543"/>
      <c r="V543"/>
      <c r="W543"/>
    </row>
    <row r="544" spans="1:23" ht="15.4">
      <c r="A544" s="5">
        <v>385</v>
      </c>
      <c r="B544" s="5">
        <v>18385</v>
      </c>
      <c r="C544" s="5" t="s">
        <v>665</v>
      </c>
      <c r="D544" s="5" t="s">
        <v>666</v>
      </c>
      <c r="E544" s="5" t="s">
        <v>25</v>
      </c>
      <c r="F544" s="5" t="s">
        <v>1363</v>
      </c>
      <c r="G544" s="8">
        <v>45511</v>
      </c>
      <c r="H544" s="8" t="str">
        <f t="shared" si="8"/>
        <v>Aug</v>
      </c>
      <c r="I544" s="5">
        <v>7500</v>
      </c>
      <c r="J544" s="5">
        <v>7100</v>
      </c>
      <c r="K544" s="5">
        <f>student_data[[#This Row],[Total Fee]]-student_data[[#This Row],[Deposit Fee]]</f>
        <v>400</v>
      </c>
      <c r="L544" s="5" t="str">
        <f>IF(student_data[[#This Row],[Outstanding Fee]]=0,"Paid",IF(student_data[[#This Row],[Deposit Fee]]=0,"Unpaid","Partially Paid"))</f>
        <v>Partially Paid</v>
      </c>
      <c r="M544" s="5" t="s">
        <v>19</v>
      </c>
      <c r="N544"/>
      <c r="O544"/>
      <c r="P544"/>
      <c r="Q544"/>
      <c r="R544"/>
      <c r="S544"/>
      <c r="T544"/>
      <c r="U544"/>
      <c r="V544"/>
      <c r="W544"/>
    </row>
    <row r="545" spans="1:23" ht="15.4">
      <c r="A545" s="5">
        <v>386</v>
      </c>
      <c r="B545" s="5">
        <v>18386</v>
      </c>
      <c r="C545" s="5" t="s">
        <v>667</v>
      </c>
      <c r="D545" s="5" t="s">
        <v>103</v>
      </c>
      <c r="E545" s="5" t="s">
        <v>9</v>
      </c>
      <c r="F545" s="5" t="s">
        <v>1363</v>
      </c>
      <c r="G545" s="8">
        <v>45511</v>
      </c>
      <c r="H545" s="8" t="str">
        <f t="shared" si="8"/>
        <v>Aug</v>
      </c>
      <c r="I545" s="5">
        <v>7500</v>
      </c>
      <c r="J545" s="5">
        <v>6900</v>
      </c>
      <c r="K545" s="5">
        <f>student_data[[#This Row],[Total Fee]]-student_data[[#This Row],[Deposit Fee]]</f>
        <v>600</v>
      </c>
      <c r="L545" s="5" t="str">
        <f>IF(student_data[[#This Row],[Outstanding Fee]]=0,"Paid",IF(student_data[[#This Row],[Deposit Fee]]=0,"Unpaid","Partially Paid"))</f>
        <v>Partially Paid</v>
      </c>
      <c r="M545" s="5" t="s">
        <v>47</v>
      </c>
      <c r="N545"/>
      <c r="O545"/>
      <c r="P545"/>
      <c r="Q545"/>
      <c r="R545"/>
      <c r="S545"/>
      <c r="T545"/>
      <c r="U545"/>
      <c r="V545"/>
      <c r="W545"/>
    </row>
    <row r="546" spans="1:23" ht="15.4">
      <c r="A546" s="5">
        <v>387</v>
      </c>
      <c r="B546" s="5">
        <v>18387</v>
      </c>
      <c r="C546" s="5" t="s">
        <v>244</v>
      </c>
      <c r="D546" s="5" t="s">
        <v>490</v>
      </c>
      <c r="E546" s="5" t="s">
        <v>25</v>
      </c>
      <c r="F546" s="5" t="s">
        <v>1363</v>
      </c>
      <c r="G546" s="8">
        <v>45511</v>
      </c>
      <c r="H546" s="8" t="str">
        <f t="shared" si="8"/>
        <v>Aug</v>
      </c>
      <c r="I546" s="5">
        <v>7500</v>
      </c>
      <c r="J546" s="5">
        <v>7100</v>
      </c>
      <c r="K546" s="5">
        <f>student_data[[#This Row],[Total Fee]]-student_data[[#This Row],[Deposit Fee]]</f>
        <v>400</v>
      </c>
      <c r="L546" s="5" t="str">
        <f>IF(student_data[[#This Row],[Outstanding Fee]]=0,"Paid",IF(student_data[[#This Row],[Deposit Fee]]=0,"Unpaid","Partially Paid"))</f>
        <v>Partially Paid</v>
      </c>
      <c r="M546" s="5" t="s">
        <v>19</v>
      </c>
      <c r="N546"/>
      <c r="O546"/>
      <c r="P546"/>
      <c r="Q546"/>
      <c r="R546"/>
      <c r="S546"/>
      <c r="T546"/>
      <c r="U546"/>
      <c r="V546"/>
      <c r="W546"/>
    </row>
    <row r="547" spans="1:23" ht="15.4">
      <c r="A547" s="5">
        <v>388</v>
      </c>
      <c r="B547" s="5">
        <v>18388</v>
      </c>
      <c r="C547" s="5" t="s">
        <v>668</v>
      </c>
      <c r="D547" s="5" t="s">
        <v>669</v>
      </c>
      <c r="E547" s="5" t="s">
        <v>9</v>
      </c>
      <c r="F547" s="5" t="s">
        <v>1363</v>
      </c>
      <c r="G547" s="8">
        <v>45512</v>
      </c>
      <c r="H547" s="8" t="str">
        <f t="shared" si="8"/>
        <v>Aug</v>
      </c>
      <c r="I547" s="5">
        <v>7500</v>
      </c>
      <c r="J547" s="5">
        <v>7500</v>
      </c>
      <c r="K547" s="5">
        <f>student_data[[#This Row],[Total Fee]]-student_data[[#This Row],[Deposit Fee]]</f>
        <v>0</v>
      </c>
      <c r="L547" s="5" t="str">
        <f>IF(student_data[[#This Row],[Outstanding Fee]]=0,"Paid",IF(student_data[[#This Row],[Deposit Fee]]=0,"Unpaid","Partially Paid"))</f>
        <v>Paid</v>
      </c>
      <c r="M547" s="5" t="s">
        <v>47</v>
      </c>
      <c r="N547"/>
      <c r="O547"/>
      <c r="P547"/>
      <c r="Q547"/>
      <c r="R547"/>
      <c r="S547"/>
      <c r="T547"/>
      <c r="U547"/>
      <c r="V547"/>
      <c r="W547"/>
    </row>
    <row r="548" spans="1:23" ht="15.4">
      <c r="A548" s="5">
        <v>389</v>
      </c>
      <c r="B548" s="5">
        <v>18389</v>
      </c>
      <c r="C548" s="5" t="s">
        <v>670</v>
      </c>
      <c r="D548" s="5" t="s">
        <v>671</v>
      </c>
      <c r="E548" s="5" t="s">
        <v>9</v>
      </c>
      <c r="F548" s="5" t="s">
        <v>1363</v>
      </c>
      <c r="G548" s="8">
        <v>45512</v>
      </c>
      <c r="H548" s="8" t="str">
        <f t="shared" si="8"/>
        <v>Aug</v>
      </c>
      <c r="I548" s="5">
        <v>7500</v>
      </c>
      <c r="J548" s="5">
        <v>6900</v>
      </c>
      <c r="K548" s="5">
        <f>student_data[[#This Row],[Total Fee]]-student_data[[#This Row],[Deposit Fee]]</f>
        <v>600</v>
      </c>
      <c r="L548" s="5" t="str">
        <f>IF(student_data[[#This Row],[Outstanding Fee]]=0,"Paid",IF(student_data[[#This Row],[Deposit Fee]]=0,"Unpaid","Partially Paid"))</f>
        <v>Partially Paid</v>
      </c>
      <c r="M548" s="5" t="s">
        <v>75</v>
      </c>
      <c r="N548"/>
      <c r="O548"/>
      <c r="P548"/>
      <c r="Q548"/>
      <c r="R548"/>
      <c r="S548"/>
      <c r="T548"/>
      <c r="U548"/>
      <c r="V548"/>
      <c r="W548"/>
    </row>
    <row r="549" spans="1:23" ht="15.4">
      <c r="A549" s="5">
        <v>390</v>
      </c>
      <c r="B549" s="5">
        <v>18390</v>
      </c>
      <c r="C549" s="5" t="s">
        <v>62</v>
      </c>
      <c r="D549" s="5" t="s">
        <v>672</v>
      </c>
      <c r="E549" s="5" t="s">
        <v>9</v>
      </c>
      <c r="F549" s="5" t="s">
        <v>1363</v>
      </c>
      <c r="G549" s="8">
        <v>45512</v>
      </c>
      <c r="H549" s="8" t="str">
        <f t="shared" si="8"/>
        <v>Aug</v>
      </c>
      <c r="I549" s="5">
        <v>7500</v>
      </c>
      <c r="J549" s="5">
        <v>7500</v>
      </c>
      <c r="K549" s="5">
        <f>student_data[[#This Row],[Total Fee]]-student_data[[#This Row],[Deposit Fee]]</f>
        <v>0</v>
      </c>
      <c r="L549" s="5" t="str">
        <f>IF(student_data[[#This Row],[Outstanding Fee]]=0,"Paid",IF(student_data[[#This Row],[Deposit Fee]]=0,"Unpaid","Partially Paid"))</f>
        <v>Paid</v>
      </c>
      <c r="M549" s="5" t="s">
        <v>89</v>
      </c>
      <c r="N549"/>
      <c r="O549"/>
      <c r="P549"/>
      <c r="Q549"/>
      <c r="R549"/>
      <c r="S549"/>
      <c r="T549"/>
      <c r="U549"/>
      <c r="V549"/>
      <c r="W549"/>
    </row>
    <row r="550" spans="1:23" ht="15.4">
      <c r="A550" s="5">
        <v>391</v>
      </c>
      <c r="B550" s="5">
        <v>18391</v>
      </c>
      <c r="C550" s="5" t="s">
        <v>673</v>
      </c>
      <c r="D550" s="5" t="s">
        <v>674</v>
      </c>
      <c r="E550" s="5" t="s">
        <v>25</v>
      </c>
      <c r="F550" s="5" t="s">
        <v>1363</v>
      </c>
      <c r="G550" s="8">
        <v>45513</v>
      </c>
      <c r="H550" s="8" t="str">
        <f t="shared" si="8"/>
        <v>Aug</v>
      </c>
      <c r="I550" s="5">
        <v>7500</v>
      </c>
      <c r="J550" s="5">
        <v>6900</v>
      </c>
      <c r="K550" s="5">
        <f>student_data[[#This Row],[Total Fee]]-student_data[[#This Row],[Deposit Fee]]</f>
        <v>600</v>
      </c>
      <c r="L550" s="5" t="str">
        <f>IF(student_data[[#This Row],[Outstanding Fee]]=0,"Paid",IF(student_data[[#This Row],[Deposit Fee]]=0,"Unpaid","Partially Paid"))</f>
        <v>Partially Paid</v>
      </c>
      <c r="M550" s="5" t="s">
        <v>29</v>
      </c>
      <c r="N550"/>
      <c r="O550"/>
      <c r="P550"/>
      <c r="Q550"/>
      <c r="R550"/>
      <c r="S550"/>
      <c r="T550"/>
      <c r="U550"/>
      <c r="V550"/>
      <c r="W550"/>
    </row>
    <row r="551" spans="1:23" ht="15.4">
      <c r="A551" s="5">
        <v>392</v>
      </c>
      <c r="B551" s="5">
        <v>18392</v>
      </c>
      <c r="C551" s="5" t="s">
        <v>675</v>
      </c>
      <c r="D551" s="5" t="s">
        <v>103</v>
      </c>
      <c r="E551" s="5" t="s">
        <v>9</v>
      </c>
      <c r="F551" s="5" t="s">
        <v>1363</v>
      </c>
      <c r="G551" s="8">
        <v>45513</v>
      </c>
      <c r="H551" s="8" t="str">
        <f t="shared" si="8"/>
        <v>Aug</v>
      </c>
      <c r="I551" s="5">
        <v>7500</v>
      </c>
      <c r="J551" s="5">
        <v>500</v>
      </c>
      <c r="K551" s="5">
        <f>student_data[[#This Row],[Total Fee]]-student_data[[#This Row],[Deposit Fee]]</f>
        <v>7000</v>
      </c>
      <c r="L551" s="5" t="str">
        <f>IF(student_data[[#This Row],[Outstanding Fee]]=0,"Paid",IF(student_data[[#This Row],[Deposit Fee]]=0,"Unpaid","Partially Paid"))</f>
        <v>Partially Paid</v>
      </c>
      <c r="M551" s="5" t="s">
        <v>75</v>
      </c>
      <c r="N551"/>
      <c r="O551"/>
      <c r="P551"/>
      <c r="Q551"/>
      <c r="R551"/>
      <c r="S551"/>
      <c r="T551"/>
      <c r="U551"/>
      <c r="V551"/>
      <c r="W551"/>
    </row>
    <row r="552" spans="1:23" ht="15.4">
      <c r="A552" s="5">
        <v>393</v>
      </c>
      <c r="B552" s="5">
        <v>18393</v>
      </c>
      <c r="C552" s="5" t="s">
        <v>676</v>
      </c>
      <c r="D552" s="5" t="s">
        <v>677</v>
      </c>
      <c r="E552" s="5" t="s">
        <v>25</v>
      </c>
      <c r="F552" s="5" t="s">
        <v>1363</v>
      </c>
      <c r="G552" s="8">
        <v>45513</v>
      </c>
      <c r="H552" s="8" t="str">
        <f t="shared" si="8"/>
        <v>Aug</v>
      </c>
      <c r="I552" s="5">
        <v>7500</v>
      </c>
      <c r="J552" s="5">
        <v>6900</v>
      </c>
      <c r="K552" s="5">
        <f>student_data[[#This Row],[Total Fee]]-student_data[[#This Row],[Deposit Fee]]</f>
        <v>600</v>
      </c>
      <c r="L552" s="5" t="str">
        <f>IF(student_data[[#This Row],[Outstanding Fee]]=0,"Paid",IF(student_data[[#This Row],[Deposit Fee]]=0,"Unpaid","Partially Paid"))</f>
        <v>Partially Paid</v>
      </c>
      <c r="M552" s="5" t="s">
        <v>75</v>
      </c>
      <c r="N552"/>
      <c r="O552"/>
      <c r="P552"/>
      <c r="Q552"/>
      <c r="R552"/>
      <c r="S552"/>
      <c r="T552"/>
      <c r="U552"/>
      <c r="V552"/>
      <c r="W552"/>
    </row>
    <row r="553" spans="1:23" ht="15.4">
      <c r="A553" s="5">
        <v>394</v>
      </c>
      <c r="B553" s="5">
        <v>18394</v>
      </c>
      <c r="C553" s="5" t="s">
        <v>678</v>
      </c>
      <c r="D553" s="5" t="s">
        <v>679</v>
      </c>
      <c r="E553" s="5" t="s">
        <v>9</v>
      </c>
      <c r="F553" s="5" t="s">
        <v>1362</v>
      </c>
      <c r="G553" s="8">
        <v>45514</v>
      </c>
      <c r="H553" s="8" t="str">
        <f t="shared" si="8"/>
        <v>Aug</v>
      </c>
      <c r="I553" s="5">
        <v>3200</v>
      </c>
      <c r="J553" s="5">
        <v>3200</v>
      </c>
      <c r="K553" s="5">
        <f>student_data[[#This Row],[Total Fee]]-student_data[[#This Row],[Deposit Fee]]</f>
        <v>0</v>
      </c>
      <c r="L553" s="5" t="str">
        <f>IF(student_data[[#This Row],[Outstanding Fee]]=0,"Paid",IF(student_data[[#This Row],[Deposit Fee]]=0,"Unpaid","Partially Paid"))</f>
        <v>Paid</v>
      </c>
      <c r="M553" s="5" t="s">
        <v>19</v>
      </c>
      <c r="N553"/>
      <c r="O553"/>
      <c r="P553"/>
      <c r="Q553"/>
      <c r="R553"/>
      <c r="S553"/>
      <c r="T553"/>
      <c r="U553"/>
      <c r="V553"/>
      <c r="W553"/>
    </row>
    <row r="554" spans="1:23" ht="15.4">
      <c r="A554" s="5">
        <v>395</v>
      </c>
      <c r="B554" s="5">
        <v>18395</v>
      </c>
      <c r="C554" s="5" t="s">
        <v>680</v>
      </c>
      <c r="D554" s="5" t="s">
        <v>681</v>
      </c>
      <c r="E554" s="5" t="s">
        <v>9</v>
      </c>
      <c r="F554" s="5" t="s">
        <v>1362</v>
      </c>
      <c r="G554" s="8">
        <v>45514</v>
      </c>
      <c r="H554" s="8" t="str">
        <f t="shared" si="8"/>
        <v>Aug</v>
      </c>
      <c r="I554" s="5">
        <v>3200</v>
      </c>
      <c r="J554" s="5">
        <v>2800</v>
      </c>
      <c r="K554" s="5">
        <f>student_data[[#This Row],[Total Fee]]-student_data[[#This Row],[Deposit Fee]]</f>
        <v>400</v>
      </c>
      <c r="L554" s="5" t="str">
        <f>IF(student_data[[#This Row],[Outstanding Fee]]=0,"Paid",IF(student_data[[#This Row],[Deposit Fee]]=0,"Unpaid","Partially Paid"))</f>
        <v>Partially Paid</v>
      </c>
      <c r="M554" s="5" t="s">
        <v>47</v>
      </c>
      <c r="N554"/>
      <c r="O554"/>
      <c r="P554"/>
      <c r="Q554"/>
      <c r="R554"/>
      <c r="S554"/>
      <c r="T554"/>
      <c r="U554"/>
      <c r="V554"/>
      <c r="W554"/>
    </row>
    <row r="555" spans="1:23" ht="15.4">
      <c r="A555" s="5">
        <v>396</v>
      </c>
      <c r="B555" s="5">
        <v>18396</v>
      </c>
      <c r="C555" s="5" t="s">
        <v>682</v>
      </c>
      <c r="D555" s="5" t="s">
        <v>64</v>
      </c>
      <c r="E555" s="5" t="s">
        <v>25</v>
      </c>
      <c r="F555" s="5" t="s">
        <v>1363</v>
      </c>
      <c r="G555" s="8">
        <v>45514</v>
      </c>
      <c r="H555" s="8" t="str">
        <f t="shared" si="8"/>
        <v>Aug</v>
      </c>
      <c r="I555" s="5">
        <v>7500</v>
      </c>
      <c r="J555" s="5">
        <v>7500</v>
      </c>
      <c r="K555" s="5">
        <f>student_data[[#This Row],[Total Fee]]-student_data[[#This Row],[Deposit Fee]]</f>
        <v>0</v>
      </c>
      <c r="L555" s="5" t="str">
        <f>IF(student_data[[#This Row],[Outstanding Fee]]=0,"Paid",IF(student_data[[#This Row],[Deposit Fee]]=0,"Unpaid","Partially Paid"))</f>
        <v>Paid</v>
      </c>
      <c r="M555" s="5" t="s">
        <v>47</v>
      </c>
      <c r="N555"/>
      <c r="O555"/>
      <c r="P555"/>
      <c r="Q555"/>
      <c r="R555"/>
      <c r="S555"/>
      <c r="T555"/>
      <c r="U555"/>
      <c r="V555"/>
      <c r="W555"/>
    </row>
    <row r="556" spans="1:23" ht="15.4">
      <c r="A556" s="5">
        <v>397</v>
      </c>
      <c r="B556" s="5">
        <v>18397</v>
      </c>
      <c r="C556" s="5" t="s">
        <v>683</v>
      </c>
      <c r="D556" s="5" t="s">
        <v>684</v>
      </c>
      <c r="E556" s="5" t="s">
        <v>9</v>
      </c>
      <c r="F556" s="5" t="s">
        <v>1363</v>
      </c>
      <c r="G556" s="8">
        <v>45516</v>
      </c>
      <c r="H556" s="8" t="str">
        <f t="shared" si="8"/>
        <v>Aug</v>
      </c>
      <c r="I556" s="5">
        <v>7500</v>
      </c>
      <c r="J556" s="5">
        <v>7500</v>
      </c>
      <c r="K556" s="5">
        <f>student_data[[#This Row],[Total Fee]]-student_data[[#This Row],[Deposit Fee]]</f>
        <v>0</v>
      </c>
      <c r="L556" s="5" t="str">
        <f>IF(student_data[[#This Row],[Outstanding Fee]]=0,"Paid",IF(student_data[[#This Row],[Deposit Fee]]=0,"Unpaid","Partially Paid"))</f>
        <v>Paid</v>
      </c>
      <c r="M556" s="5" t="s">
        <v>78</v>
      </c>
      <c r="N556"/>
      <c r="O556"/>
      <c r="P556"/>
      <c r="Q556"/>
      <c r="R556"/>
      <c r="S556"/>
      <c r="T556"/>
      <c r="U556"/>
      <c r="V556"/>
      <c r="W556"/>
    </row>
    <row r="557" spans="1:23" ht="15.4">
      <c r="A557" s="5">
        <v>398</v>
      </c>
      <c r="B557" s="5">
        <v>18398</v>
      </c>
      <c r="C557" s="5" t="s">
        <v>685</v>
      </c>
      <c r="D557" s="5" t="s">
        <v>253</v>
      </c>
      <c r="E557" s="5" t="s">
        <v>9</v>
      </c>
      <c r="F557" s="5" t="s">
        <v>1363</v>
      </c>
      <c r="G557" s="8">
        <v>45516</v>
      </c>
      <c r="H557" s="8" t="str">
        <f t="shared" si="8"/>
        <v>Aug</v>
      </c>
      <c r="I557" s="5">
        <v>7500</v>
      </c>
      <c r="J557" s="5">
        <v>7500</v>
      </c>
      <c r="K557" s="5">
        <f>student_data[[#This Row],[Total Fee]]-student_data[[#This Row],[Deposit Fee]]</f>
        <v>0</v>
      </c>
      <c r="L557" s="5" t="str">
        <f>IF(student_data[[#This Row],[Outstanding Fee]]=0,"Paid",IF(student_data[[#This Row],[Deposit Fee]]=0,"Unpaid","Partially Paid"))</f>
        <v>Paid</v>
      </c>
      <c r="M557" s="5" t="s">
        <v>16</v>
      </c>
      <c r="N557"/>
      <c r="O557"/>
      <c r="P557"/>
      <c r="Q557"/>
      <c r="R557"/>
      <c r="S557"/>
      <c r="T557"/>
      <c r="U557"/>
      <c r="V557"/>
      <c r="W557"/>
    </row>
    <row r="558" spans="1:23" ht="15.4">
      <c r="A558" s="5">
        <v>399</v>
      </c>
      <c r="B558" s="5">
        <v>18399</v>
      </c>
      <c r="C558" s="5" t="s">
        <v>686</v>
      </c>
      <c r="D558" s="5" t="s">
        <v>687</v>
      </c>
      <c r="E558" s="5" t="s">
        <v>9</v>
      </c>
      <c r="F558" s="5" t="s">
        <v>1363</v>
      </c>
      <c r="G558" s="8">
        <v>45516</v>
      </c>
      <c r="H558" s="8" t="str">
        <f t="shared" si="8"/>
        <v>Aug</v>
      </c>
      <c r="I558" s="5">
        <v>7500</v>
      </c>
      <c r="J558" s="5">
        <v>7100</v>
      </c>
      <c r="K558" s="5">
        <f>student_data[[#This Row],[Total Fee]]-student_data[[#This Row],[Deposit Fee]]</f>
        <v>400</v>
      </c>
      <c r="L558" s="5" t="str">
        <f>IF(student_data[[#This Row],[Outstanding Fee]]=0,"Paid",IF(student_data[[#This Row],[Deposit Fee]]=0,"Unpaid","Partially Paid"))</f>
        <v>Partially Paid</v>
      </c>
      <c r="M558" s="5" t="s">
        <v>19</v>
      </c>
      <c r="N558"/>
      <c r="O558"/>
      <c r="P558"/>
      <c r="Q558"/>
      <c r="R558"/>
      <c r="S558"/>
      <c r="T558"/>
      <c r="U558"/>
      <c r="V558"/>
      <c r="W558"/>
    </row>
    <row r="559" spans="1:23" ht="15.4">
      <c r="A559" s="5">
        <v>400</v>
      </c>
      <c r="B559" s="5">
        <v>18400</v>
      </c>
      <c r="C559" s="5" t="s">
        <v>688</v>
      </c>
      <c r="D559" s="5" t="s">
        <v>383</v>
      </c>
      <c r="E559" s="5" t="s">
        <v>25</v>
      </c>
      <c r="F559" s="5" t="s">
        <v>1363</v>
      </c>
      <c r="G559" s="8">
        <v>45517</v>
      </c>
      <c r="H559" s="8" t="str">
        <f t="shared" si="8"/>
        <v>Aug</v>
      </c>
      <c r="I559" s="5">
        <v>7500</v>
      </c>
      <c r="J559" s="5">
        <v>6900</v>
      </c>
      <c r="K559" s="5">
        <f>student_data[[#This Row],[Total Fee]]-student_data[[#This Row],[Deposit Fee]]</f>
        <v>600</v>
      </c>
      <c r="L559" s="5" t="str">
        <f>IF(student_data[[#This Row],[Outstanding Fee]]=0,"Paid",IF(student_data[[#This Row],[Deposit Fee]]=0,"Unpaid","Partially Paid"))</f>
        <v>Partially Paid</v>
      </c>
      <c r="M559" s="5" t="s">
        <v>47</v>
      </c>
      <c r="N559"/>
      <c r="O559"/>
      <c r="P559"/>
      <c r="Q559"/>
      <c r="R559"/>
      <c r="S559"/>
      <c r="T559"/>
      <c r="U559"/>
      <c r="V559"/>
      <c r="W559"/>
    </row>
    <row r="560" spans="1:23" ht="15.4">
      <c r="A560" s="5">
        <v>401</v>
      </c>
      <c r="B560" s="5">
        <v>18401</v>
      </c>
      <c r="C560" s="5" t="s">
        <v>689</v>
      </c>
      <c r="D560" s="5" t="s">
        <v>378</v>
      </c>
      <c r="E560" s="5" t="s">
        <v>25</v>
      </c>
      <c r="F560" s="5" t="s">
        <v>1363</v>
      </c>
      <c r="G560" s="8">
        <v>45517</v>
      </c>
      <c r="H560" s="8" t="str">
        <f t="shared" si="8"/>
        <v>Aug</v>
      </c>
      <c r="I560" s="5">
        <v>7500</v>
      </c>
      <c r="J560" s="5">
        <v>7100</v>
      </c>
      <c r="K560" s="5">
        <f>student_data[[#This Row],[Total Fee]]-student_data[[#This Row],[Deposit Fee]]</f>
        <v>400</v>
      </c>
      <c r="L560" s="5" t="str">
        <f>IF(student_data[[#This Row],[Outstanding Fee]]=0,"Paid",IF(student_data[[#This Row],[Deposit Fee]]=0,"Unpaid","Partially Paid"))</f>
        <v>Partially Paid</v>
      </c>
      <c r="M560" s="5" t="s">
        <v>75</v>
      </c>
      <c r="N560"/>
      <c r="O560"/>
      <c r="P560"/>
      <c r="Q560"/>
      <c r="R560"/>
      <c r="S560"/>
      <c r="T560"/>
      <c r="U560"/>
      <c r="V560"/>
      <c r="W560"/>
    </row>
    <row r="561" spans="1:23" ht="15.4">
      <c r="A561" s="5">
        <v>402</v>
      </c>
      <c r="B561" s="5">
        <v>18402</v>
      </c>
      <c r="C561" s="5" t="s">
        <v>690</v>
      </c>
      <c r="D561" s="5" t="s">
        <v>691</v>
      </c>
      <c r="E561" s="5" t="s">
        <v>25</v>
      </c>
      <c r="F561" s="5" t="s">
        <v>1363</v>
      </c>
      <c r="G561" s="8">
        <v>45517</v>
      </c>
      <c r="H561" s="8" t="str">
        <f t="shared" si="8"/>
        <v>Aug</v>
      </c>
      <c r="I561" s="5">
        <v>7500</v>
      </c>
      <c r="J561" s="5">
        <v>6900</v>
      </c>
      <c r="K561" s="5">
        <f>student_data[[#This Row],[Total Fee]]-student_data[[#This Row],[Deposit Fee]]</f>
        <v>600</v>
      </c>
      <c r="L561" s="5" t="str">
        <f>IF(student_data[[#This Row],[Outstanding Fee]]=0,"Paid",IF(student_data[[#This Row],[Deposit Fee]]=0,"Unpaid","Partially Paid"))</f>
        <v>Partially Paid</v>
      </c>
      <c r="M561" s="5" t="s">
        <v>89</v>
      </c>
      <c r="N561"/>
      <c r="O561"/>
      <c r="P561"/>
      <c r="Q561"/>
      <c r="R561"/>
      <c r="S561"/>
      <c r="T561"/>
      <c r="U561"/>
      <c r="V561"/>
      <c r="W561"/>
    </row>
    <row r="562" spans="1:23" ht="15.4">
      <c r="A562" s="5">
        <v>403</v>
      </c>
      <c r="B562" s="5">
        <v>18403</v>
      </c>
      <c r="C562" s="5" t="s">
        <v>692</v>
      </c>
      <c r="D562" s="5" t="s">
        <v>693</v>
      </c>
      <c r="E562" s="5" t="s">
        <v>9</v>
      </c>
      <c r="F562" s="5" t="s">
        <v>1363</v>
      </c>
      <c r="G562" s="8">
        <v>45518</v>
      </c>
      <c r="H562" s="8" t="str">
        <f t="shared" si="8"/>
        <v>Aug</v>
      </c>
      <c r="I562" s="5">
        <v>7500</v>
      </c>
      <c r="J562" s="5">
        <v>7500</v>
      </c>
      <c r="K562" s="5">
        <f>student_data[[#This Row],[Total Fee]]-student_data[[#This Row],[Deposit Fee]]</f>
        <v>0</v>
      </c>
      <c r="L562" s="5" t="str">
        <f>IF(student_data[[#This Row],[Outstanding Fee]]=0,"Paid",IF(student_data[[#This Row],[Deposit Fee]]=0,"Unpaid","Partially Paid"))</f>
        <v>Paid</v>
      </c>
      <c r="M562" s="5" t="s">
        <v>19</v>
      </c>
      <c r="N562"/>
      <c r="O562"/>
      <c r="P562"/>
      <c r="Q562"/>
      <c r="R562"/>
      <c r="S562"/>
      <c r="T562"/>
      <c r="U562"/>
      <c r="V562"/>
      <c r="W562"/>
    </row>
    <row r="563" spans="1:23" ht="15.4">
      <c r="A563" s="5">
        <v>404</v>
      </c>
      <c r="B563" s="5">
        <v>18404</v>
      </c>
      <c r="C563" s="5" t="s">
        <v>694</v>
      </c>
      <c r="D563" s="5" t="s">
        <v>695</v>
      </c>
      <c r="E563" s="5" t="s">
        <v>9</v>
      </c>
      <c r="F563" s="5" t="s">
        <v>1363</v>
      </c>
      <c r="G563" s="8">
        <v>45518</v>
      </c>
      <c r="H563" s="8" t="str">
        <f t="shared" si="8"/>
        <v>Aug</v>
      </c>
      <c r="I563" s="5">
        <v>7500</v>
      </c>
      <c r="J563" s="5">
        <v>7500</v>
      </c>
      <c r="K563" s="5">
        <f>student_data[[#This Row],[Total Fee]]-student_data[[#This Row],[Deposit Fee]]</f>
        <v>0</v>
      </c>
      <c r="L563" s="5" t="str">
        <f>IF(student_data[[#This Row],[Outstanding Fee]]=0,"Paid",IF(student_data[[#This Row],[Deposit Fee]]=0,"Unpaid","Partially Paid"))</f>
        <v>Paid</v>
      </c>
      <c r="M563" s="5" t="s">
        <v>47</v>
      </c>
      <c r="N563"/>
      <c r="O563"/>
      <c r="P563"/>
      <c r="Q563"/>
      <c r="R563"/>
      <c r="S563"/>
      <c r="T563"/>
      <c r="U563"/>
      <c r="V563"/>
      <c r="W563"/>
    </row>
    <row r="564" spans="1:23" ht="15.4">
      <c r="A564" s="5">
        <v>405</v>
      </c>
      <c r="B564" s="5">
        <v>18405</v>
      </c>
      <c r="C564" s="5" t="s">
        <v>696</v>
      </c>
      <c r="D564" s="5" t="s">
        <v>697</v>
      </c>
      <c r="E564" s="5" t="s">
        <v>9</v>
      </c>
      <c r="F564" s="5" t="s">
        <v>1363</v>
      </c>
      <c r="G564" s="8">
        <v>45518</v>
      </c>
      <c r="H564" s="8" t="str">
        <f t="shared" si="8"/>
        <v>Aug</v>
      </c>
      <c r="I564" s="5">
        <v>7500</v>
      </c>
      <c r="J564" s="5">
        <v>7500</v>
      </c>
      <c r="K564" s="5">
        <f>student_data[[#This Row],[Total Fee]]-student_data[[#This Row],[Deposit Fee]]</f>
        <v>0</v>
      </c>
      <c r="L564" s="5" t="str">
        <f>IF(student_data[[#This Row],[Outstanding Fee]]=0,"Paid",IF(student_data[[#This Row],[Deposit Fee]]=0,"Unpaid","Partially Paid"))</f>
        <v>Paid</v>
      </c>
      <c r="M564" s="5" t="s">
        <v>75</v>
      </c>
      <c r="N564"/>
      <c r="O564"/>
      <c r="P564"/>
      <c r="Q564"/>
      <c r="R564"/>
      <c r="S564"/>
      <c r="T564"/>
      <c r="U564"/>
      <c r="V564"/>
      <c r="W564"/>
    </row>
    <row r="565" spans="1:23" ht="15.4">
      <c r="A565" s="5">
        <v>406</v>
      </c>
      <c r="B565" s="5">
        <v>18406</v>
      </c>
      <c r="C565" s="5" t="s">
        <v>300</v>
      </c>
      <c r="D565" s="5" t="s">
        <v>698</v>
      </c>
      <c r="E565" s="5" t="s">
        <v>9</v>
      </c>
      <c r="F565" s="5" t="s">
        <v>1363</v>
      </c>
      <c r="G565" s="8">
        <v>45519</v>
      </c>
      <c r="H565" s="8" t="str">
        <f t="shared" si="8"/>
        <v>Aug</v>
      </c>
      <c r="I565" s="5">
        <v>7500</v>
      </c>
      <c r="J565" s="5">
        <v>6900</v>
      </c>
      <c r="K565" s="5">
        <f>student_data[[#This Row],[Total Fee]]-student_data[[#This Row],[Deposit Fee]]</f>
        <v>600</v>
      </c>
      <c r="L565" s="5" t="str">
        <f>IF(student_data[[#This Row],[Outstanding Fee]]=0,"Paid",IF(student_data[[#This Row],[Deposit Fee]]=0,"Unpaid","Partially Paid"))</f>
        <v>Partially Paid</v>
      </c>
      <c r="M565" s="5" t="s">
        <v>89</v>
      </c>
      <c r="N565"/>
      <c r="O565"/>
      <c r="P565"/>
      <c r="Q565"/>
      <c r="R565"/>
      <c r="S565"/>
      <c r="T565"/>
      <c r="U565"/>
      <c r="V565"/>
      <c r="W565"/>
    </row>
    <row r="566" spans="1:23" ht="15.4">
      <c r="A566" s="5">
        <v>407</v>
      </c>
      <c r="B566" s="5">
        <v>18407</v>
      </c>
      <c r="C566" s="5" t="s">
        <v>699</v>
      </c>
      <c r="D566" s="5" t="s">
        <v>700</v>
      </c>
      <c r="E566" s="5" t="s">
        <v>9</v>
      </c>
      <c r="F566" s="5" t="s">
        <v>1363</v>
      </c>
      <c r="G566" s="8">
        <v>45519</v>
      </c>
      <c r="H566" s="8" t="str">
        <f t="shared" si="8"/>
        <v>Aug</v>
      </c>
      <c r="I566" s="5">
        <v>7500</v>
      </c>
      <c r="J566" s="5">
        <v>6900</v>
      </c>
      <c r="K566" s="5">
        <f>student_data[[#This Row],[Total Fee]]-student_data[[#This Row],[Deposit Fee]]</f>
        <v>600</v>
      </c>
      <c r="L566" s="5" t="str">
        <f>IF(student_data[[#This Row],[Outstanding Fee]]=0,"Paid",IF(student_data[[#This Row],[Deposit Fee]]=0,"Unpaid","Partially Paid"))</f>
        <v>Partially Paid</v>
      </c>
      <c r="M566" s="5" t="s">
        <v>29</v>
      </c>
      <c r="N566"/>
      <c r="O566"/>
      <c r="P566"/>
      <c r="Q566"/>
      <c r="R566"/>
      <c r="S566"/>
      <c r="T566"/>
      <c r="U566"/>
      <c r="V566"/>
      <c r="W566"/>
    </row>
    <row r="567" spans="1:23" ht="15.4">
      <c r="A567" s="5">
        <v>408</v>
      </c>
      <c r="B567" s="5">
        <v>18408</v>
      </c>
      <c r="C567" s="5" t="s">
        <v>701</v>
      </c>
      <c r="D567" s="5" t="s">
        <v>702</v>
      </c>
      <c r="E567" s="5" t="s">
        <v>25</v>
      </c>
      <c r="F567" s="5" t="s">
        <v>1363</v>
      </c>
      <c r="G567" s="8">
        <v>45519</v>
      </c>
      <c r="H567" s="8" t="str">
        <f t="shared" si="8"/>
        <v>Aug</v>
      </c>
      <c r="I567" s="5">
        <v>7500</v>
      </c>
      <c r="J567" s="5">
        <v>7500</v>
      </c>
      <c r="K567" s="5">
        <f>student_data[[#This Row],[Total Fee]]-student_data[[#This Row],[Deposit Fee]]</f>
        <v>0</v>
      </c>
      <c r="L567" s="5" t="str">
        <f>IF(student_data[[#This Row],[Outstanding Fee]]=0,"Paid",IF(student_data[[#This Row],[Deposit Fee]]=0,"Unpaid","Partially Paid"))</f>
        <v>Paid</v>
      </c>
      <c r="M567" s="5" t="s">
        <v>75</v>
      </c>
      <c r="N567"/>
      <c r="O567"/>
      <c r="P567"/>
      <c r="Q567"/>
      <c r="R567"/>
      <c r="S567"/>
      <c r="T567"/>
      <c r="U567"/>
      <c r="V567"/>
      <c r="W567"/>
    </row>
    <row r="568" spans="1:23" ht="15.4">
      <c r="A568" s="5">
        <v>409</v>
      </c>
      <c r="B568" s="5">
        <v>18409</v>
      </c>
      <c r="C568" s="5" t="s">
        <v>703</v>
      </c>
      <c r="D568" s="5" t="s">
        <v>117</v>
      </c>
      <c r="E568" s="5" t="s">
        <v>25</v>
      </c>
      <c r="F568" s="5" t="s">
        <v>1363</v>
      </c>
      <c r="G568" s="8">
        <v>45520</v>
      </c>
      <c r="H568" s="8" t="str">
        <f t="shared" si="8"/>
        <v>Aug</v>
      </c>
      <c r="I568" s="5">
        <v>7500</v>
      </c>
      <c r="J568" s="5">
        <v>7500</v>
      </c>
      <c r="K568" s="5">
        <f>student_data[[#This Row],[Total Fee]]-student_data[[#This Row],[Deposit Fee]]</f>
        <v>0</v>
      </c>
      <c r="L568" s="5" t="str">
        <f>IF(student_data[[#This Row],[Outstanding Fee]]=0,"Paid",IF(student_data[[#This Row],[Deposit Fee]]=0,"Unpaid","Partially Paid"))</f>
        <v>Paid</v>
      </c>
      <c r="M568" s="5" t="s">
        <v>75</v>
      </c>
      <c r="N568"/>
      <c r="O568"/>
      <c r="P568"/>
      <c r="Q568"/>
      <c r="R568"/>
      <c r="S568"/>
      <c r="T568"/>
      <c r="U568"/>
      <c r="V568"/>
      <c r="W568"/>
    </row>
    <row r="569" spans="1:23" ht="15.4">
      <c r="A569" s="5">
        <v>410</v>
      </c>
      <c r="B569" s="5">
        <v>18410</v>
      </c>
      <c r="C569" s="5" t="s">
        <v>704</v>
      </c>
      <c r="D569" s="5" t="s">
        <v>705</v>
      </c>
      <c r="E569" s="5" t="s">
        <v>9</v>
      </c>
      <c r="F569" s="5" t="s">
        <v>1363</v>
      </c>
      <c r="G569" s="8">
        <v>45520</v>
      </c>
      <c r="H569" s="8" t="str">
        <f t="shared" si="8"/>
        <v>Aug</v>
      </c>
      <c r="I569" s="5">
        <v>7500</v>
      </c>
      <c r="J569" s="5">
        <v>7100</v>
      </c>
      <c r="K569" s="5">
        <f>student_data[[#This Row],[Total Fee]]-student_data[[#This Row],[Deposit Fee]]</f>
        <v>400</v>
      </c>
      <c r="L569" s="5" t="str">
        <f>IF(student_data[[#This Row],[Outstanding Fee]]=0,"Paid",IF(student_data[[#This Row],[Deposit Fee]]=0,"Unpaid","Partially Paid"))</f>
        <v>Partially Paid</v>
      </c>
      <c r="M569" s="5" t="s">
        <v>19</v>
      </c>
      <c r="N569"/>
      <c r="O569"/>
      <c r="P569"/>
      <c r="Q569"/>
      <c r="R569"/>
      <c r="S569"/>
      <c r="T569"/>
      <c r="U569"/>
      <c r="V569"/>
      <c r="W569"/>
    </row>
    <row r="570" spans="1:23" ht="15.4">
      <c r="A570" s="5">
        <v>411</v>
      </c>
      <c r="B570" s="5">
        <v>18411</v>
      </c>
      <c r="C570" s="5" t="s">
        <v>706</v>
      </c>
      <c r="D570" s="5" t="s">
        <v>707</v>
      </c>
      <c r="E570" s="5" t="s">
        <v>25</v>
      </c>
      <c r="F570" s="5" t="s">
        <v>1363</v>
      </c>
      <c r="G570" s="8">
        <v>45520</v>
      </c>
      <c r="H570" s="8" t="str">
        <f t="shared" si="8"/>
        <v>Aug</v>
      </c>
      <c r="I570" s="5">
        <v>7500</v>
      </c>
      <c r="J570" s="5">
        <v>900</v>
      </c>
      <c r="K570" s="5">
        <f>student_data[[#This Row],[Total Fee]]-student_data[[#This Row],[Deposit Fee]]</f>
        <v>6600</v>
      </c>
      <c r="L570" s="5" t="str">
        <f>IF(student_data[[#This Row],[Outstanding Fee]]=0,"Paid",IF(student_data[[#This Row],[Deposit Fee]]=0,"Unpaid","Partially Paid"))</f>
        <v>Partially Paid</v>
      </c>
      <c r="M570" s="5" t="s">
        <v>47</v>
      </c>
      <c r="N570"/>
      <c r="O570"/>
      <c r="P570"/>
      <c r="Q570"/>
      <c r="R570"/>
      <c r="S570"/>
      <c r="T570"/>
      <c r="U570"/>
      <c r="V570"/>
      <c r="W570"/>
    </row>
    <row r="571" spans="1:23" ht="15.4">
      <c r="A571" s="5">
        <v>412</v>
      </c>
      <c r="B571" s="5">
        <v>18412</v>
      </c>
      <c r="C571" s="5" t="s">
        <v>708</v>
      </c>
      <c r="D571" s="5" t="s">
        <v>709</v>
      </c>
      <c r="E571" s="5" t="s">
        <v>9</v>
      </c>
      <c r="F571" s="5" t="s">
        <v>1363</v>
      </c>
      <c r="G571" s="8">
        <v>45521</v>
      </c>
      <c r="H571" s="8" t="str">
        <f t="shared" si="8"/>
        <v>Aug</v>
      </c>
      <c r="I571" s="5">
        <v>7500</v>
      </c>
      <c r="J571" s="5">
        <v>7100</v>
      </c>
      <c r="K571" s="5">
        <f>student_data[[#This Row],[Total Fee]]-student_data[[#This Row],[Deposit Fee]]</f>
        <v>400</v>
      </c>
      <c r="L571" s="5" t="str">
        <f>IF(student_data[[#This Row],[Outstanding Fee]]=0,"Paid",IF(student_data[[#This Row],[Deposit Fee]]=0,"Unpaid","Partially Paid"))</f>
        <v>Partially Paid</v>
      </c>
      <c r="M571" s="5" t="s">
        <v>47</v>
      </c>
      <c r="N571"/>
      <c r="O571"/>
      <c r="P571"/>
      <c r="Q571"/>
      <c r="R571"/>
      <c r="S571"/>
      <c r="T571"/>
      <c r="U571"/>
      <c r="V571"/>
      <c r="W571"/>
    </row>
    <row r="572" spans="1:23" ht="15.4">
      <c r="A572" s="5">
        <v>413</v>
      </c>
      <c r="B572" s="5">
        <v>18413</v>
      </c>
      <c r="C572" s="5" t="s">
        <v>710</v>
      </c>
      <c r="D572" s="5" t="s">
        <v>629</v>
      </c>
      <c r="E572" s="5" t="s">
        <v>9</v>
      </c>
      <c r="F572" s="5" t="s">
        <v>1363</v>
      </c>
      <c r="G572" s="8">
        <v>45521</v>
      </c>
      <c r="H572" s="8" t="str">
        <f t="shared" si="8"/>
        <v>Aug</v>
      </c>
      <c r="I572" s="5">
        <v>7500</v>
      </c>
      <c r="J572" s="5">
        <v>6900</v>
      </c>
      <c r="K572" s="5">
        <f>student_data[[#This Row],[Total Fee]]-student_data[[#This Row],[Deposit Fee]]</f>
        <v>600</v>
      </c>
      <c r="L572" s="5" t="str">
        <f>IF(student_data[[#This Row],[Outstanding Fee]]=0,"Paid",IF(student_data[[#This Row],[Deposit Fee]]=0,"Unpaid","Partially Paid"))</f>
        <v>Partially Paid</v>
      </c>
      <c r="M572" s="5" t="s">
        <v>78</v>
      </c>
      <c r="N572"/>
      <c r="O572"/>
      <c r="P572"/>
      <c r="Q572"/>
      <c r="R572"/>
      <c r="S572"/>
      <c r="T572"/>
      <c r="U572"/>
      <c r="V572"/>
      <c r="W572"/>
    </row>
    <row r="573" spans="1:23" ht="15.4">
      <c r="A573" s="5">
        <v>414</v>
      </c>
      <c r="B573" s="5">
        <v>18414</v>
      </c>
      <c r="C573" s="5" t="s">
        <v>711</v>
      </c>
      <c r="D573" s="5" t="s">
        <v>712</v>
      </c>
      <c r="E573" s="5" t="s">
        <v>9</v>
      </c>
      <c r="F573" s="5" t="s">
        <v>1363</v>
      </c>
      <c r="G573" s="8">
        <v>45521</v>
      </c>
      <c r="H573" s="8" t="str">
        <f t="shared" si="8"/>
        <v>Aug</v>
      </c>
      <c r="I573" s="5">
        <v>7500</v>
      </c>
      <c r="J573" s="5">
        <v>6900</v>
      </c>
      <c r="K573" s="5">
        <f>student_data[[#This Row],[Total Fee]]-student_data[[#This Row],[Deposit Fee]]</f>
        <v>600</v>
      </c>
      <c r="L573" s="5" t="str">
        <f>IF(student_data[[#This Row],[Outstanding Fee]]=0,"Paid",IF(student_data[[#This Row],[Deposit Fee]]=0,"Unpaid","Partially Paid"))</f>
        <v>Partially Paid</v>
      </c>
      <c r="M573" s="5" t="s">
        <v>16</v>
      </c>
      <c r="N573"/>
      <c r="O573"/>
      <c r="P573"/>
      <c r="Q573"/>
      <c r="R573"/>
      <c r="S573"/>
      <c r="T573"/>
      <c r="U573"/>
      <c r="V573"/>
      <c r="W573"/>
    </row>
    <row r="574" spans="1:23" ht="15.4">
      <c r="A574" s="5">
        <v>415</v>
      </c>
      <c r="B574" s="5">
        <v>18415</v>
      </c>
      <c r="C574" s="5" t="s">
        <v>713</v>
      </c>
      <c r="D574" s="5" t="s">
        <v>234</v>
      </c>
      <c r="E574" s="5" t="s">
        <v>9</v>
      </c>
      <c r="F574" s="5" t="s">
        <v>1363</v>
      </c>
      <c r="G574" s="8">
        <v>45523</v>
      </c>
      <c r="H574" s="8" t="str">
        <f t="shared" si="8"/>
        <v>Aug</v>
      </c>
      <c r="I574" s="5">
        <v>7500</v>
      </c>
      <c r="J574" s="5">
        <v>7500</v>
      </c>
      <c r="K574" s="5">
        <f>student_data[[#This Row],[Total Fee]]-student_data[[#This Row],[Deposit Fee]]</f>
        <v>0</v>
      </c>
      <c r="L574" s="5" t="str">
        <f>IF(student_data[[#This Row],[Outstanding Fee]]=0,"Paid",IF(student_data[[#This Row],[Deposit Fee]]=0,"Unpaid","Partially Paid"))</f>
        <v>Paid</v>
      </c>
      <c r="M574" s="5" t="s">
        <v>19</v>
      </c>
      <c r="N574"/>
      <c r="O574"/>
      <c r="P574"/>
      <c r="Q574"/>
      <c r="R574"/>
      <c r="S574"/>
      <c r="T574"/>
      <c r="U574"/>
      <c r="V574"/>
      <c r="W574"/>
    </row>
    <row r="575" spans="1:23" ht="15.4">
      <c r="A575" s="5">
        <v>416</v>
      </c>
      <c r="B575" s="5">
        <v>18416</v>
      </c>
      <c r="C575" s="5" t="s">
        <v>714</v>
      </c>
      <c r="D575" s="5" t="s">
        <v>715</v>
      </c>
      <c r="E575" s="5" t="s">
        <v>25</v>
      </c>
      <c r="F575" s="5" t="s">
        <v>1363</v>
      </c>
      <c r="G575" s="8">
        <v>45523</v>
      </c>
      <c r="H575" s="8" t="str">
        <f t="shared" si="8"/>
        <v>Aug</v>
      </c>
      <c r="I575" s="5">
        <v>7500</v>
      </c>
      <c r="J575" s="5">
        <v>7500</v>
      </c>
      <c r="K575" s="5">
        <f>student_data[[#This Row],[Total Fee]]-student_data[[#This Row],[Deposit Fee]]</f>
        <v>0</v>
      </c>
      <c r="L575" s="5" t="str">
        <f>IF(student_data[[#This Row],[Outstanding Fee]]=0,"Paid",IF(student_data[[#This Row],[Deposit Fee]]=0,"Unpaid","Partially Paid"))</f>
        <v>Paid</v>
      </c>
      <c r="M575" s="5" t="s">
        <v>47</v>
      </c>
      <c r="N575"/>
      <c r="O575"/>
      <c r="P575"/>
      <c r="Q575"/>
      <c r="R575"/>
      <c r="S575"/>
      <c r="T575"/>
      <c r="U575"/>
      <c r="V575"/>
      <c r="W575"/>
    </row>
    <row r="576" spans="1:23" ht="15.4">
      <c r="A576" s="5">
        <v>417</v>
      </c>
      <c r="B576" s="5">
        <v>18417</v>
      </c>
      <c r="C576" s="5" t="s">
        <v>716</v>
      </c>
      <c r="D576" s="5" t="s">
        <v>266</v>
      </c>
      <c r="E576" s="5" t="s">
        <v>25</v>
      </c>
      <c r="F576" s="5" t="s">
        <v>1363</v>
      </c>
      <c r="G576" s="8">
        <v>45523</v>
      </c>
      <c r="H576" s="8" t="str">
        <f t="shared" si="8"/>
        <v>Aug</v>
      </c>
      <c r="I576" s="5">
        <v>7500</v>
      </c>
      <c r="J576" s="5">
        <v>7500</v>
      </c>
      <c r="K576" s="5">
        <f>student_data[[#This Row],[Total Fee]]-student_data[[#This Row],[Deposit Fee]]</f>
        <v>0</v>
      </c>
      <c r="L576" s="5" t="str">
        <f>IF(student_data[[#This Row],[Outstanding Fee]]=0,"Paid",IF(student_data[[#This Row],[Deposit Fee]]=0,"Unpaid","Partially Paid"))</f>
        <v>Paid</v>
      </c>
      <c r="M576" s="5" t="s">
        <v>75</v>
      </c>
      <c r="N576"/>
      <c r="O576"/>
      <c r="P576"/>
      <c r="Q576"/>
      <c r="R576"/>
      <c r="S576"/>
      <c r="T576"/>
      <c r="U576"/>
      <c r="V576"/>
      <c r="W576"/>
    </row>
    <row r="577" spans="1:23" ht="15.4">
      <c r="A577" s="5">
        <v>418</v>
      </c>
      <c r="B577" s="5">
        <v>18418</v>
      </c>
      <c r="C577" s="5" t="s">
        <v>717</v>
      </c>
      <c r="D577" s="5" t="s">
        <v>285</v>
      </c>
      <c r="E577" s="5" t="s">
        <v>25</v>
      </c>
      <c r="F577" s="5" t="s">
        <v>1363</v>
      </c>
      <c r="G577" s="8">
        <v>45524</v>
      </c>
      <c r="H577" s="8" t="str">
        <f t="shared" si="8"/>
        <v>Aug</v>
      </c>
      <c r="I577" s="5">
        <v>7500</v>
      </c>
      <c r="J577" s="5">
        <v>6900</v>
      </c>
      <c r="K577" s="5">
        <f>student_data[[#This Row],[Total Fee]]-student_data[[#This Row],[Deposit Fee]]</f>
        <v>600</v>
      </c>
      <c r="L577" s="5" t="str">
        <f>IF(student_data[[#This Row],[Outstanding Fee]]=0,"Paid",IF(student_data[[#This Row],[Deposit Fee]]=0,"Unpaid","Partially Paid"))</f>
        <v>Partially Paid</v>
      </c>
      <c r="M577" s="5" t="s">
        <v>89</v>
      </c>
      <c r="N577"/>
      <c r="O577"/>
      <c r="P577"/>
      <c r="Q577"/>
      <c r="R577"/>
      <c r="S577"/>
      <c r="T577"/>
      <c r="U577"/>
      <c r="V577"/>
      <c r="W577"/>
    </row>
    <row r="578" spans="1:23" ht="15.4">
      <c r="A578" s="5">
        <v>419</v>
      </c>
      <c r="B578" s="5">
        <v>18419</v>
      </c>
      <c r="C578" s="5" t="s">
        <v>718</v>
      </c>
      <c r="D578" s="5" t="s">
        <v>719</v>
      </c>
      <c r="E578" s="5" t="s">
        <v>9</v>
      </c>
      <c r="F578" s="5" t="s">
        <v>1363</v>
      </c>
      <c r="G578" s="8">
        <v>45524</v>
      </c>
      <c r="H578" s="8" t="str">
        <f t="shared" ref="H578:H641" si="9">TEXT(G578,"mmm")</f>
        <v>Aug</v>
      </c>
      <c r="I578" s="5">
        <v>7500</v>
      </c>
      <c r="J578" s="5">
        <v>7500</v>
      </c>
      <c r="K578" s="5">
        <f>student_data[[#This Row],[Total Fee]]-student_data[[#This Row],[Deposit Fee]]</f>
        <v>0</v>
      </c>
      <c r="L578" s="5" t="str">
        <f>IF(student_data[[#This Row],[Outstanding Fee]]=0,"Paid",IF(student_data[[#This Row],[Deposit Fee]]=0,"Unpaid","Partially Paid"))</f>
        <v>Paid</v>
      </c>
      <c r="M578" s="5" t="s">
        <v>10</v>
      </c>
      <c r="N578"/>
      <c r="O578"/>
      <c r="P578"/>
      <c r="Q578"/>
      <c r="R578"/>
      <c r="S578"/>
      <c r="T578"/>
      <c r="U578"/>
      <c r="V578"/>
      <c r="W578"/>
    </row>
    <row r="579" spans="1:23" ht="15.4">
      <c r="A579" s="5">
        <v>420</v>
      </c>
      <c r="B579" s="5">
        <v>18420</v>
      </c>
      <c r="C579" s="5" t="s">
        <v>720</v>
      </c>
      <c r="D579" s="5" t="s">
        <v>721</v>
      </c>
      <c r="E579" s="5" t="s">
        <v>9</v>
      </c>
      <c r="F579" s="5" t="s">
        <v>1363</v>
      </c>
      <c r="G579" s="8">
        <v>45524</v>
      </c>
      <c r="H579" s="8" t="str">
        <f t="shared" si="9"/>
        <v>Aug</v>
      </c>
      <c r="I579" s="5">
        <v>7500</v>
      </c>
      <c r="J579" s="5">
        <v>6900</v>
      </c>
      <c r="K579" s="5">
        <f>student_data[[#This Row],[Total Fee]]-student_data[[#This Row],[Deposit Fee]]</f>
        <v>600</v>
      </c>
      <c r="L579" s="5" t="str">
        <f>IF(student_data[[#This Row],[Outstanding Fee]]=0,"Paid",IF(student_data[[#This Row],[Deposit Fee]]=0,"Unpaid","Partially Paid"))</f>
        <v>Partially Paid</v>
      </c>
      <c r="M579" s="5" t="s">
        <v>13</v>
      </c>
      <c r="N579"/>
      <c r="O579"/>
      <c r="P579"/>
      <c r="Q579"/>
      <c r="R579"/>
      <c r="S579"/>
      <c r="T579"/>
      <c r="U579"/>
      <c r="V579"/>
      <c r="W579"/>
    </row>
    <row r="580" spans="1:23" ht="15.4">
      <c r="A580" s="5">
        <v>421</v>
      </c>
      <c r="B580" s="5">
        <v>18421</v>
      </c>
      <c r="C580" s="5" t="s">
        <v>722</v>
      </c>
      <c r="D580" s="5" t="s">
        <v>552</v>
      </c>
      <c r="E580" s="5" t="s">
        <v>9</v>
      </c>
      <c r="F580" s="5" t="s">
        <v>1363</v>
      </c>
      <c r="G580" s="8">
        <v>45525</v>
      </c>
      <c r="H580" s="8" t="str">
        <f t="shared" si="9"/>
        <v>Aug</v>
      </c>
      <c r="I580" s="5">
        <v>7500</v>
      </c>
      <c r="J580" s="5">
        <v>7500</v>
      </c>
      <c r="K580" s="5">
        <f>student_data[[#This Row],[Total Fee]]-student_data[[#This Row],[Deposit Fee]]</f>
        <v>0</v>
      </c>
      <c r="L580" s="5" t="str">
        <f>IF(student_data[[#This Row],[Outstanding Fee]]=0,"Paid",IF(student_data[[#This Row],[Deposit Fee]]=0,"Unpaid","Partially Paid"))</f>
        <v>Paid</v>
      </c>
      <c r="M580" s="5" t="s">
        <v>16</v>
      </c>
      <c r="N580"/>
      <c r="O580"/>
      <c r="P580"/>
      <c r="Q580"/>
      <c r="R580"/>
      <c r="S580"/>
      <c r="T580"/>
      <c r="U580"/>
      <c r="V580"/>
      <c r="W580"/>
    </row>
    <row r="581" spans="1:23" ht="15.4">
      <c r="A581" s="5">
        <v>422</v>
      </c>
      <c r="B581" s="5">
        <v>18422</v>
      </c>
      <c r="C581" s="5" t="s">
        <v>723</v>
      </c>
      <c r="D581" s="5" t="s">
        <v>37</v>
      </c>
      <c r="E581" s="5" t="s">
        <v>9</v>
      </c>
      <c r="F581" s="5" t="s">
        <v>1363</v>
      </c>
      <c r="G581" s="8">
        <v>45525</v>
      </c>
      <c r="H581" s="8" t="str">
        <f t="shared" si="9"/>
        <v>Aug</v>
      </c>
      <c r="I581" s="5">
        <v>7500</v>
      </c>
      <c r="J581" s="5">
        <v>7100</v>
      </c>
      <c r="K581" s="5">
        <f>student_data[[#This Row],[Total Fee]]-student_data[[#This Row],[Deposit Fee]]</f>
        <v>400</v>
      </c>
      <c r="L581" s="5" t="str">
        <f>IF(student_data[[#This Row],[Outstanding Fee]]=0,"Paid",IF(student_data[[#This Row],[Deposit Fee]]=0,"Unpaid","Partially Paid"))</f>
        <v>Partially Paid</v>
      </c>
      <c r="M581" s="5" t="s">
        <v>19</v>
      </c>
      <c r="N581"/>
      <c r="O581"/>
      <c r="P581"/>
      <c r="Q581"/>
      <c r="R581"/>
      <c r="S581"/>
      <c r="T581"/>
      <c r="U581"/>
      <c r="V581"/>
      <c r="W581"/>
    </row>
    <row r="582" spans="1:23" ht="15.4">
      <c r="A582" s="5">
        <v>423</v>
      </c>
      <c r="B582" s="5">
        <v>18423</v>
      </c>
      <c r="C582" s="5" t="s">
        <v>724</v>
      </c>
      <c r="D582" s="5" t="s">
        <v>632</v>
      </c>
      <c r="E582" s="5" t="s">
        <v>9</v>
      </c>
      <c r="F582" s="5" t="s">
        <v>1363</v>
      </c>
      <c r="G582" s="8">
        <v>45525</v>
      </c>
      <c r="H582" s="8" t="str">
        <f t="shared" si="9"/>
        <v>Aug</v>
      </c>
      <c r="I582" s="5">
        <v>7500</v>
      </c>
      <c r="J582" s="5">
        <v>7500</v>
      </c>
      <c r="K582" s="5">
        <f>student_data[[#This Row],[Total Fee]]-student_data[[#This Row],[Deposit Fee]]</f>
        <v>0</v>
      </c>
      <c r="L582" s="5" t="str">
        <f>IF(student_data[[#This Row],[Outstanding Fee]]=0,"Paid",IF(student_data[[#This Row],[Deposit Fee]]=0,"Unpaid","Partially Paid"))</f>
        <v>Paid</v>
      </c>
      <c r="M582" s="5" t="s">
        <v>22</v>
      </c>
      <c r="N582"/>
      <c r="O582"/>
      <c r="P582"/>
      <c r="Q582"/>
      <c r="R582"/>
      <c r="S582"/>
      <c r="T582"/>
      <c r="U582"/>
      <c r="V582"/>
      <c r="W582"/>
    </row>
    <row r="583" spans="1:23" ht="15.4">
      <c r="A583" s="5">
        <v>424</v>
      </c>
      <c r="B583" s="5">
        <v>18424</v>
      </c>
      <c r="C583" s="5" t="s">
        <v>725</v>
      </c>
      <c r="D583" s="5" t="s">
        <v>726</v>
      </c>
      <c r="E583" s="5" t="s">
        <v>25</v>
      </c>
      <c r="F583" s="5" t="s">
        <v>1363</v>
      </c>
      <c r="G583" s="8">
        <v>45526</v>
      </c>
      <c r="H583" s="8" t="str">
        <f t="shared" si="9"/>
        <v>Aug</v>
      </c>
      <c r="I583" s="5">
        <v>7500</v>
      </c>
      <c r="J583" s="5">
        <v>7100</v>
      </c>
      <c r="K583" s="5">
        <f>student_data[[#This Row],[Total Fee]]-student_data[[#This Row],[Deposit Fee]]</f>
        <v>400</v>
      </c>
      <c r="L583" s="5" t="str">
        <f>IF(student_data[[#This Row],[Outstanding Fee]]=0,"Paid",IF(student_data[[#This Row],[Deposit Fee]]=0,"Unpaid","Partially Paid"))</f>
        <v>Partially Paid</v>
      </c>
      <c r="M583" s="5" t="s">
        <v>26</v>
      </c>
      <c r="N583"/>
      <c r="O583"/>
      <c r="P583"/>
      <c r="Q583"/>
      <c r="R583"/>
      <c r="S583"/>
      <c r="T583"/>
      <c r="U583"/>
      <c r="V583"/>
      <c r="W583"/>
    </row>
    <row r="584" spans="1:23" ht="15.4">
      <c r="A584" s="5">
        <v>425</v>
      </c>
      <c r="B584" s="5">
        <v>18425</v>
      </c>
      <c r="C584" s="5" t="s">
        <v>727</v>
      </c>
      <c r="D584" s="5" t="s">
        <v>728</v>
      </c>
      <c r="E584" s="5" t="s">
        <v>25</v>
      </c>
      <c r="F584" s="5" t="s">
        <v>1363</v>
      </c>
      <c r="G584" s="8">
        <v>45526</v>
      </c>
      <c r="H584" s="8" t="str">
        <f t="shared" si="9"/>
        <v>Aug</v>
      </c>
      <c r="I584" s="5">
        <v>7500</v>
      </c>
      <c r="J584" s="5">
        <v>6900</v>
      </c>
      <c r="K584" s="5">
        <f>student_data[[#This Row],[Total Fee]]-student_data[[#This Row],[Deposit Fee]]</f>
        <v>600</v>
      </c>
      <c r="L584" s="5" t="str">
        <f>IF(student_data[[#This Row],[Outstanding Fee]]=0,"Paid",IF(student_data[[#This Row],[Deposit Fee]]=0,"Unpaid","Partially Paid"))</f>
        <v>Partially Paid</v>
      </c>
      <c r="M584" s="5" t="s">
        <v>29</v>
      </c>
      <c r="N584"/>
      <c r="O584"/>
      <c r="P584"/>
      <c r="Q584"/>
      <c r="R584"/>
      <c r="S584"/>
      <c r="T584"/>
      <c r="U584"/>
      <c r="V584"/>
      <c r="W584"/>
    </row>
    <row r="585" spans="1:23" ht="15.4">
      <c r="A585" s="5">
        <v>426</v>
      </c>
      <c r="B585" s="5">
        <v>18426</v>
      </c>
      <c r="C585" s="5" t="s">
        <v>729</v>
      </c>
      <c r="D585" s="5" t="s">
        <v>246</v>
      </c>
      <c r="E585" s="5" t="s">
        <v>25</v>
      </c>
      <c r="F585" s="5" t="s">
        <v>1363</v>
      </c>
      <c r="G585" s="8">
        <v>45526</v>
      </c>
      <c r="H585" s="8" t="str">
        <f t="shared" si="9"/>
        <v>Aug</v>
      </c>
      <c r="I585" s="5">
        <v>7500</v>
      </c>
      <c r="J585" s="5">
        <v>6900</v>
      </c>
      <c r="K585" s="5">
        <f>student_data[[#This Row],[Total Fee]]-student_data[[#This Row],[Deposit Fee]]</f>
        <v>600</v>
      </c>
      <c r="L585" s="5" t="str">
        <f>IF(student_data[[#This Row],[Outstanding Fee]]=0,"Paid",IF(student_data[[#This Row],[Deposit Fee]]=0,"Unpaid","Partially Paid"))</f>
        <v>Partially Paid</v>
      </c>
      <c r="M585" s="5" t="s">
        <v>32</v>
      </c>
      <c r="N585"/>
      <c r="O585"/>
      <c r="P585"/>
      <c r="Q585"/>
      <c r="R585"/>
      <c r="S585"/>
      <c r="T585"/>
      <c r="U585"/>
      <c r="V585"/>
      <c r="W585"/>
    </row>
    <row r="586" spans="1:23" ht="15.4">
      <c r="A586" s="5">
        <v>427</v>
      </c>
      <c r="B586" s="5">
        <v>18427</v>
      </c>
      <c r="C586" s="5" t="s">
        <v>730</v>
      </c>
      <c r="D586" s="5" t="s">
        <v>731</v>
      </c>
      <c r="E586" s="5" t="s">
        <v>9</v>
      </c>
      <c r="F586" s="5" t="s">
        <v>1363</v>
      </c>
      <c r="G586" s="8">
        <v>45527</v>
      </c>
      <c r="H586" s="8" t="str">
        <f t="shared" si="9"/>
        <v>Aug</v>
      </c>
      <c r="I586" s="5">
        <v>7500</v>
      </c>
      <c r="J586" s="5">
        <v>7500</v>
      </c>
      <c r="K586" s="5">
        <f>student_data[[#This Row],[Total Fee]]-student_data[[#This Row],[Deposit Fee]]</f>
        <v>0</v>
      </c>
      <c r="L586" s="5" t="str">
        <f>IF(student_data[[#This Row],[Outstanding Fee]]=0,"Paid",IF(student_data[[#This Row],[Deposit Fee]]=0,"Unpaid","Partially Paid"))</f>
        <v>Paid</v>
      </c>
      <c r="M586" s="5" t="s">
        <v>35</v>
      </c>
      <c r="N586"/>
      <c r="O586"/>
      <c r="P586"/>
      <c r="Q586"/>
      <c r="R586"/>
      <c r="S586"/>
      <c r="T586"/>
      <c r="U586"/>
      <c r="V586"/>
      <c r="W586"/>
    </row>
    <row r="587" spans="1:23" ht="15.4">
      <c r="A587" s="5">
        <v>428</v>
      </c>
      <c r="B587" s="5">
        <v>18428</v>
      </c>
      <c r="C587" s="5" t="s">
        <v>732</v>
      </c>
      <c r="D587" s="5" t="s">
        <v>733</v>
      </c>
      <c r="E587" s="5" t="s">
        <v>9</v>
      </c>
      <c r="F587" s="5" t="s">
        <v>1363</v>
      </c>
      <c r="G587" s="8">
        <v>45527</v>
      </c>
      <c r="H587" s="8" t="str">
        <f t="shared" si="9"/>
        <v>Aug</v>
      </c>
      <c r="I587" s="5">
        <v>7500</v>
      </c>
      <c r="J587" s="5">
        <v>7500</v>
      </c>
      <c r="K587" s="5">
        <f>student_data[[#This Row],[Total Fee]]-student_data[[#This Row],[Deposit Fee]]</f>
        <v>0</v>
      </c>
      <c r="L587" s="5" t="str">
        <f>IF(student_data[[#This Row],[Outstanding Fee]]=0,"Paid",IF(student_data[[#This Row],[Deposit Fee]]=0,"Unpaid","Partially Paid"))</f>
        <v>Paid</v>
      </c>
      <c r="M587" s="5" t="s">
        <v>38</v>
      </c>
      <c r="N587"/>
      <c r="O587"/>
      <c r="P587"/>
      <c r="Q587"/>
      <c r="R587"/>
      <c r="S587"/>
      <c r="T587"/>
      <c r="U587"/>
      <c r="V587"/>
      <c r="W587"/>
    </row>
    <row r="588" spans="1:23" ht="15.4">
      <c r="A588" s="5">
        <v>429</v>
      </c>
      <c r="B588" s="5">
        <v>18429</v>
      </c>
      <c r="C588" s="5" t="s">
        <v>734</v>
      </c>
      <c r="D588" s="5" t="s">
        <v>735</v>
      </c>
      <c r="E588" s="5" t="s">
        <v>9</v>
      </c>
      <c r="F588" s="5" t="s">
        <v>1363</v>
      </c>
      <c r="G588" s="8">
        <v>45527</v>
      </c>
      <c r="H588" s="8" t="str">
        <f t="shared" si="9"/>
        <v>Aug</v>
      </c>
      <c r="I588" s="5">
        <v>7500</v>
      </c>
      <c r="J588" s="5">
        <v>7500</v>
      </c>
      <c r="K588" s="5">
        <f>student_data[[#This Row],[Total Fee]]-student_data[[#This Row],[Deposit Fee]]</f>
        <v>0</v>
      </c>
      <c r="L588" s="5" t="str">
        <f>IF(student_data[[#This Row],[Outstanding Fee]]=0,"Paid",IF(student_data[[#This Row],[Deposit Fee]]=0,"Unpaid","Partially Paid"))</f>
        <v>Paid</v>
      </c>
      <c r="M588" s="5" t="s">
        <v>22</v>
      </c>
      <c r="N588"/>
      <c r="O588"/>
      <c r="P588"/>
      <c r="Q588"/>
      <c r="R588"/>
      <c r="S588"/>
      <c r="T588"/>
      <c r="U588"/>
      <c r="V588"/>
      <c r="W588"/>
    </row>
    <row r="589" spans="1:23" ht="15.4">
      <c r="A589" s="5">
        <v>430</v>
      </c>
      <c r="B589" s="5">
        <v>18430</v>
      </c>
      <c r="C589" s="5" t="s">
        <v>736</v>
      </c>
      <c r="D589" s="5" t="s">
        <v>117</v>
      </c>
      <c r="E589" s="5" t="s">
        <v>9</v>
      </c>
      <c r="F589" s="5" t="s">
        <v>1363</v>
      </c>
      <c r="G589" s="8">
        <v>45528</v>
      </c>
      <c r="H589" s="8" t="str">
        <f t="shared" si="9"/>
        <v>Aug</v>
      </c>
      <c r="I589" s="5">
        <v>7500</v>
      </c>
      <c r="J589" s="5">
        <v>6900</v>
      </c>
      <c r="K589" s="5">
        <f>student_data[[#This Row],[Total Fee]]-student_data[[#This Row],[Deposit Fee]]</f>
        <v>600</v>
      </c>
      <c r="L589" s="5" t="str">
        <f>IF(student_data[[#This Row],[Outstanding Fee]]=0,"Paid",IF(student_data[[#This Row],[Deposit Fee]]=0,"Unpaid","Partially Paid"))</f>
        <v>Partially Paid</v>
      </c>
      <c r="M589" s="5" t="s">
        <v>26</v>
      </c>
      <c r="N589"/>
      <c r="O589"/>
      <c r="P589"/>
      <c r="Q589"/>
      <c r="R589"/>
      <c r="S589"/>
      <c r="T589"/>
      <c r="U589"/>
      <c r="V589"/>
      <c r="W589"/>
    </row>
    <row r="590" spans="1:23" ht="15.4">
      <c r="A590" s="5">
        <v>431</v>
      </c>
      <c r="B590" s="5">
        <v>18431</v>
      </c>
      <c r="C590" s="5" t="s">
        <v>737</v>
      </c>
      <c r="D590" s="5" t="s">
        <v>729</v>
      </c>
      <c r="E590" s="5" t="s">
        <v>25</v>
      </c>
      <c r="F590" s="5" t="s">
        <v>1363</v>
      </c>
      <c r="G590" s="8">
        <v>45528</v>
      </c>
      <c r="H590" s="8" t="str">
        <f t="shared" si="9"/>
        <v>Aug</v>
      </c>
      <c r="I590" s="5">
        <v>7500</v>
      </c>
      <c r="J590" s="5">
        <v>800</v>
      </c>
      <c r="K590" s="5">
        <f>student_data[[#This Row],[Total Fee]]-student_data[[#This Row],[Deposit Fee]]</f>
        <v>6700</v>
      </c>
      <c r="L590" s="5" t="str">
        <f>IF(student_data[[#This Row],[Outstanding Fee]]=0,"Paid",IF(student_data[[#This Row],[Deposit Fee]]=0,"Unpaid","Partially Paid"))</f>
        <v>Partially Paid</v>
      </c>
      <c r="M590" s="5" t="s">
        <v>10</v>
      </c>
      <c r="N590"/>
      <c r="O590"/>
      <c r="P590"/>
      <c r="Q590"/>
      <c r="R590"/>
      <c r="S590"/>
      <c r="T590"/>
      <c r="U590"/>
      <c r="V590"/>
      <c r="W590"/>
    </row>
    <row r="591" spans="1:23" ht="15.4">
      <c r="A591" s="5">
        <v>432</v>
      </c>
      <c r="B591" s="5">
        <v>18432</v>
      </c>
      <c r="C591" s="5" t="s">
        <v>738</v>
      </c>
      <c r="D591" s="5" t="s">
        <v>739</v>
      </c>
      <c r="E591" s="5" t="s">
        <v>9</v>
      </c>
      <c r="F591" s="5" t="s">
        <v>1363</v>
      </c>
      <c r="G591" s="8">
        <v>45528</v>
      </c>
      <c r="H591" s="8" t="str">
        <f t="shared" si="9"/>
        <v>Aug</v>
      </c>
      <c r="I591" s="5">
        <v>7500</v>
      </c>
      <c r="J591" s="5">
        <v>6900</v>
      </c>
      <c r="K591" s="5">
        <f>student_data[[#This Row],[Total Fee]]-student_data[[#This Row],[Deposit Fee]]</f>
        <v>600</v>
      </c>
      <c r="L591" s="5" t="str">
        <f>IF(student_data[[#This Row],[Outstanding Fee]]=0,"Paid",IF(student_data[[#This Row],[Deposit Fee]]=0,"Unpaid","Partially Paid"))</f>
        <v>Partially Paid</v>
      </c>
      <c r="M591" s="5" t="s">
        <v>47</v>
      </c>
      <c r="N591"/>
      <c r="O591"/>
      <c r="P591"/>
      <c r="Q591"/>
      <c r="R591"/>
      <c r="S591"/>
      <c r="T591"/>
      <c r="U591"/>
      <c r="V591"/>
      <c r="W591"/>
    </row>
    <row r="592" spans="1:23" ht="15.4">
      <c r="A592" s="5">
        <v>433</v>
      </c>
      <c r="B592" s="5">
        <v>18433</v>
      </c>
      <c r="C592" s="5" t="s">
        <v>740</v>
      </c>
      <c r="D592" s="5" t="s">
        <v>741</v>
      </c>
      <c r="E592" s="5" t="s">
        <v>9</v>
      </c>
      <c r="F592" s="5" t="s">
        <v>1363</v>
      </c>
      <c r="G592" s="8">
        <v>45530</v>
      </c>
      <c r="H592" s="8" t="str">
        <f t="shared" si="9"/>
        <v>Aug</v>
      </c>
      <c r="I592" s="5">
        <v>7500</v>
      </c>
      <c r="J592" s="5">
        <v>7100</v>
      </c>
      <c r="K592" s="5">
        <f>student_data[[#This Row],[Total Fee]]-student_data[[#This Row],[Deposit Fee]]</f>
        <v>400</v>
      </c>
      <c r="L592" s="5" t="str">
        <f>IF(student_data[[#This Row],[Outstanding Fee]]=0,"Paid",IF(student_data[[#This Row],[Deposit Fee]]=0,"Unpaid","Partially Paid"))</f>
        <v>Partially Paid</v>
      </c>
      <c r="M592" s="5" t="s">
        <v>50</v>
      </c>
      <c r="N592"/>
      <c r="O592"/>
      <c r="P592"/>
      <c r="Q592"/>
      <c r="R592"/>
      <c r="S592"/>
      <c r="T592"/>
      <c r="U592"/>
      <c r="V592"/>
      <c r="W592"/>
    </row>
    <row r="593" spans="1:23" ht="15.4">
      <c r="A593" s="5">
        <v>434</v>
      </c>
      <c r="B593" s="5">
        <v>18434</v>
      </c>
      <c r="C593" s="5" t="s">
        <v>742</v>
      </c>
      <c r="D593" s="5" t="s">
        <v>743</v>
      </c>
      <c r="E593" s="5" t="s">
        <v>25</v>
      </c>
      <c r="F593" s="5" t="s">
        <v>1363</v>
      </c>
      <c r="G593" s="8">
        <v>45530</v>
      </c>
      <c r="H593" s="8" t="str">
        <f t="shared" si="9"/>
        <v>Aug</v>
      </c>
      <c r="I593" s="5">
        <v>7500</v>
      </c>
      <c r="J593" s="5">
        <v>7500</v>
      </c>
      <c r="K593" s="5">
        <f>student_data[[#This Row],[Total Fee]]-student_data[[#This Row],[Deposit Fee]]</f>
        <v>0</v>
      </c>
      <c r="L593" s="5" t="str">
        <f>IF(student_data[[#This Row],[Outstanding Fee]]=0,"Paid",IF(student_data[[#This Row],[Deposit Fee]]=0,"Unpaid","Partially Paid"))</f>
        <v>Paid</v>
      </c>
      <c r="M593" s="5" t="s">
        <v>53</v>
      </c>
      <c r="N593"/>
      <c r="O593"/>
      <c r="P593"/>
      <c r="Q593"/>
      <c r="R593"/>
      <c r="S593"/>
      <c r="T593"/>
      <c r="U593"/>
      <c r="V593"/>
      <c r="W593"/>
    </row>
    <row r="594" spans="1:23" ht="15.4">
      <c r="A594" s="5">
        <v>435</v>
      </c>
      <c r="B594" s="5">
        <v>18435</v>
      </c>
      <c r="C594" s="5" t="s">
        <v>744</v>
      </c>
      <c r="D594" s="5" t="s">
        <v>36</v>
      </c>
      <c r="E594" s="5" t="s">
        <v>25</v>
      </c>
      <c r="F594" s="5" t="s">
        <v>1363</v>
      </c>
      <c r="G594" s="8">
        <v>45530</v>
      </c>
      <c r="H594" s="8" t="str">
        <f t="shared" si="9"/>
        <v>Aug</v>
      </c>
      <c r="I594" s="5">
        <v>7500</v>
      </c>
      <c r="J594" s="5">
        <v>7500</v>
      </c>
      <c r="K594" s="5">
        <f>student_data[[#This Row],[Total Fee]]-student_data[[#This Row],[Deposit Fee]]</f>
        <v>0</v>
      </c>
      <c r="L594" s="5" t="str">
        <f>IF(student_data[[#This Row],[Outstanding Fee]]=0,"Paid",IF(student_data[[#This Row],[Deposit Fee]]=0,"Unpaid","Partially Paid"))</f>
        <v>Paid</v>
      </c>
      <c r="M594" s="5" t="s">
        <v>50</v>
      </c>
      <c r="N594"/>
      <c r="O594"/>
      <c r="P594"/>
      <c r="Q594"/>
      <c r="R594"/>
      <c r="S594"/>
      <c r="T594"/>
      <c r="U594"/>
      <c r="V594"/>
      <c r="W594"/>
    </row>
    <row r="595" spans="1:23" ht="15.4">
      <c r="A595" s="5">
        <v>436</v>
      </c>
      <c r="B595" s="5">
        <v>18436</v>
      </c>
      <c r="C595" s="5" t="s">
        <v>189</v>
      </c>
      <c r="D595" s="5" t="s">
        <v>561</v>
      </c>
      <c r="E595" s="5" t="s">
        <v>9</v>
      </c>
      <c r="F595" s="5" t="s">
        <v>1363</v>
      </c>
      <c r="G595" s="8">
        <v>45531</v>
      </c>
      <c r="H595" s="8" t="str">
        <f t="shared" si="9"/>
        <v>Aug</v>
      </c>
      <c r="I595" s="5">
        <v>7500</v>
      </c>
      <c r="J595" s="5">
        <v>7100</v>
      </c>
      <c r="K595" s="5">
        <f>student_data[[#This Row],[Total Fee]]-student_data[[#This Row],[Deposit Fee]]</f>
        <v>400</v>
      </c>
      <c r="L595" s="5" t="str">
        <f>IF(student_data[[#This Row],[Outstanding Fee]]=0,"Paid",IF(student_data[[#This Row],[Deposit Fee]]=0,"Unpaid","Partially Paid"))</f>
        <v>Partially Paid</v>
      </c>
      <c r="M595" s="5" t="s">
        <v>53</v>
      </c>
      <c r="N595"/>
      <c r="O595"/>
      <c r="P595"/>
      <c r="Q595"/>
      <c r="R595"/>
      <c r="S595"/>
      <c r="T595"/>
      <c r="U595"/>
      <c r="V595"/>
      <c r="W595"/>
    </row>
    <row r="596" spans="1:23" ht="15.4">
      <c r="A596" s="5">
        <v>437</v>
      </c>
      <c r="B596" s="5">
        <v>18437</v>
      </c>
      <c r="C596" s="5" t="s">
        <v>745</v>
      </c>
      <c r="D596" s="5" t="s">
        <v>746</v>
      </c>
      <c r="E596" s="5" t="s">
        <v>9</v>
      </c>
      <c r="F596" s="5" t="s">
        <v>1363</v>
      </c>
      <c r="G596" s="8">
        <v>45531</v>
      </c>
      <c r="H596" s="8" t="str">
        <f t="shared" si="9"/>
        <v>Aug</v>
      </c>
      <c r="I596" s="5">
        <v>7500</v>
      </c>
      <c r="J596" s="5">
        <v>6900</v>
      </c>
      <c r="K596" s="5">
        <f>student_data[[#This Row],[Total Fee]]-student_data[[#This Row],[Deposit Fee]]</f>
        <v>600</v>
      </c>
      <c r="L596" s="5" t="str">
        <f>IF(student_data[[#This Row],[Outstanding Fee]]=0,"Paid",IF(student_data[[#This Row],[Deposit Fee]]=0,"Unpaid","Partially Paid"))</f>
        <v>Partially Paid</v>
      </c>
      <c r="M596" s="5" t="s">
        <v>53</v>
      </c>
      <c r="N596"/>
      <c r="O596"/>
      <c r="P596"/>
      <c r="Q596"/>
      <c r="R596"/>
      <c r="S596"/>
      <c r="T596"/>
      <c r="U596"/>
      <c r="V596"/>
      <c r="W596"/>
    </row>
    <row r="597" spans="1:23" ht="15.4">
      <c r="A597" s="5">
        <v>438</v>
      </c>
      <c r="B597" s="5">
        <v>18438</v>
      </c>
      <c r="C597" s="5" t="s">
        <v>747</v>
      </c>
      <c r="D597" s="5" t="s">
        <v>748</v>
      </c>
      <c r="E597" s="5" t="s">
        <v>9</v>
      </c>
      <c r="F597" s="5" t="s">
        <v>1363</v>
      </c>
      <c r="G597" s="8">
        <v>45531</v>
      </c>
      <c r="H597" s="8" t="str">
        <f t="shared" si="9"/>
        <v>Aug</v>
      </c>
      <c r="I597" s="5">
        <v>7500</v>
      </c>
      <c r="J597" s="5">
        <v>6900</v>
      </c>
      <c r="K597" s="5">
        <f>student_data[[#This Row],[Total Fee]]-student_data[[#This Row],[Deposit Fee]]</f>
        <v>600</v>
      </c>
      <c r="L597" s="5" t="str">
        <f>IF(student_data[[#This Row],[Outstanding Fee]]=0,"Paid",IF(student_data[[#This Row],[Deposit Fee]]=0,"Unpaid","Partially Paid"))</f>
        <v>Partially Paid</v>
      </c>
      <c r="M597" s="5" t="s">
        <v>50</v>
      </c>
      <c r="N597"/>
      <c r="O597"/>
      <c r="P597"/>
      <c r="Q597"/>
      <c r="R597"/>
      <c r="S597"/>
      <c r="T597"/>
      <c r="U597"/>
      <c r="V597"/>
      <c r="W597"/>
    </row>
    <row r="598" spans="1:23" ht="15.4">
      <c r="A598" s="5">
        <v>439</v>
      </c>
      <c r="B598" s="5">
        <v>18439</v>
      </c>
      <c r="C598" s="5" t="s">
        <v>749</v>
      </c>
      <c r="D598" s="5" t="s">
        <v>180</v>
      </c>
      <c r="E598" s="5" t="s">
        <v>25</v>
      </c>
      <c r="F598" s="5" t="s">
        <v>1363</v>
      </c>
      <c r="G598" s="8">
        <v>45532</v>
      </c>
      <c r="H598" s="8" t="str">
        <f t="shared" si="9"/>
        <v>Aug</v>
      </c>
      <c r="I598" s="5">
        <v>7500</v>
      </c>
      <c r="J598" s="5">
        <v>7500</v>
      </c>
      <c r="K598" s="5">
        <f>student_data[[#This Row],[Total Fee]]-student_data[[#This Row],[Deposit Fee]]</f>
        <v>0</v>
      </c>
      <c r="L598" s="5" t="str">
        <f>IF(student_data[[#This Row],[Outstanding Fee]]=0,"Paid",IF(student_data[[#This Row],[Deposit Fee]]=0,"Unpaid","Partially Paid"))</f>
        <v>Paid</v>
      </c>
      <c r="M598" s="5" t="s">
        <v>13</v>
      </c>
      <c r="N598"/>
      <c r="O598"/>
      <c r="P598"/>
      <c r="Q598"/>
      <c r="R598"/>
      <c r="S598"/>
      <c r="T598"/>
      <c r="U598"/>
      <c r="V598"/>
      <c r="W598"/>
    </row>
    <row r="599" spans="1:23" ht="15.4">
      <c r="A599" s="5">
        <v>440</v>
      </c>
      <c r="B599" s="5">
        <v>18440</v>
      </c>
      <c r="C599" s="5" t="s">
        <v>750</v>
      </c>
      <c r="D599" s="5" t="s">
        <v>751</v>
      </c>
      <c r="E599" s="5" t="s">
        <v>9</v>
      </c>
      <c r="F599" s="5" t="s">
        <v>1363</v>
      </c>
      <c r="G599" s="8">
        <v>45532</v>
      </c>
      <c r="H599" s="8" t="str">
        <f t="shared" si="9"/>
        <v>Aug</v>
      </c>
      <c r="I599" s="5">
        <v>7500</v>
      </c>
      <c r="J599" s="5">
        <v>7500</v>
      </c>
      <c r="K599" s="5">
        <f>student_data[[#This Row],[Total Fee]]-student_data[[#This Row],[Deposit Fee]]</f>
        <v>0</v>
      </c>
      <c r="L599" s="5" t="str">
        <f>IF(student_data[[#This Row],[Outstanding Fee]]=0,"Paid",IF(student_data[[#This Row],[Deposit Fee]]=0,"Unpaid","Partially Paid"))</f>
        <v>Paid</v>
      </c>
      <c r="M599" s="5" t="s">
        <v>66</v>
      </c>
      <c r="N599"/>
      <c r="O599"/>
      <c r="P599"/>
      <c r="Q599"/>
      <c r="R599"/>
      <c r="S599"/>
      <c r="T599"/>
      <c r="U599"/>
      <c r="V599"/>
      <c r="W599"/>
    </row>
    <row r="600" spans="1:23" ht="15.4">
      <c r="A600" s="5">
        <v>441</v>
      </c>
      <c r="B600" s="5">
        <v>18441</v>
      </c>
      <c r="C600" s="5" t="s">
        <v>752</v>
      </c>
      <c r="D600" s="5" t="s">
        <v>753</v>
      </c>
      <c r="E600" s="5" t="s">
        <v>25</v>
      </c>
      <c r="F600" s="5" t="s">
        <v>1363</v>
      </c>
      <c r="G600" s="8">
        <v>45532</v>
      </c>
      <c r="H600" s="8" t="str">
        <f t="shared" si="9"/>
        <v>Aug</v>
      </c>
      <c r="I600" s="5">
        <v>7500</v>
      </c>
      <c r="J600" s="5">
        <v>7500</v>
      </c>
      <c r="K600" s="5">
        <f>student_data[[#This Row],[Total Fee]]-student_data[[#This Row],[Deposit Fee]]</f>
        <v>0</v>
      </c>
      <c r="L600" s="5" t="str">
        <f>IF(student_data[[#This Row],[Outstanding Fee]]=0,"Paid",IF(student_data[[#This Row],[Deposit Fee]]=0,"Unpaid","Partially Paid"))</f>
        <v>Paid</v>
      </c>
      <c r="M600" s="5" t="s">
        <v>22</v>
      </c>
      <c r="N600"/>
      <c r="O600"/>
      <c r="P600"/>
      <c r="Q600"/>
      <c r="R600"/>
      <c r="S600"/>
      <c r="T600"/>
      <c r="U600"/>
      <c r="V600"/>
      <c r="W600"/>
    </row>
    <row r="601" spans="1:23" ht="15.4">
      <c r="A601" s="5">
        <v>442</v>
      </c>
      <c r="B601" s="5">
        <v>18442</v>
      </c>
      <c r="C601" s="5" t="s">
        <v>754</v>
      </c>
      <c r="D601" s="5" t="s">
        <v>755</v>
      </c>
      <c r="E601" s="5" t="s">
        <v>25</v>
      </c>
      <c r="F601" s="5" t="s">
        <v>1363</v>
      </c>
      <c r="G601" s="8">
        <v>45533</v>
      </c>
      <c r="H601" s="8" t="str">
        <f t="shared" si="9"/>
        <v>Aug</v>
      </c>
      <c r="I601" s="5">
        <v>7500</v>
      </c>
      <c r="J601" s="5">
        <v>6900</v>
      </c>
      <c r="K601" s="5">
        <f>student_data[[#This Row],[Total Fee]]-student_data[[#This Row],[Deposit Fee]]</f>
        <v>600</v>
      </c>
      <c r="L601" s="5" t="str">
        <f>IF(student_data[[#This Row],[Outstanding Fee]]=0,"Paid",IF(student_data[[#This Row],[Deposit Fee]]=0,"Unpaid","Partially Paid"))</f>
        <v>Partially Paid</v>
      </c>
      <c r="M601" s="5" t="s">
        <v>26</v>
      </c>
      <c r="N601"/>
      <c r="O601"/>
      <c r="P601"/>
      <c r="Q601"/>
      <c r="R601"/>
      <c r="S601"/>
      <c r="T601"/>
      <c r="U601"/>
      <c r="V601"/>
      <c r="W601"/>
    </row>
    <row r="602" spans="1:23" ht="15.4">
      <c r="A602" s="5">
        <v>443</v>
      </c>
      <c r="B602" s="5">
        <v>18443</v>
      </c>
      <c r="C602" s="5" t="s">
        <v>756</v>
      </c>
      <c r="D602" s="5" t="s">
        <v>757</v>
      </c>
      <c r="E602" s="5" t="s">
        <v>9</v>
      </c>
      <c r="F602" s="5" t="s">
        <v>1363</v>
      </c>
      <c r="G602" s="8">
        <v>45533</v>
      </c>
      <c r="H602" s="8" t="str">
        <f t="shared" si="9"/>
        <v>Aug</v>
      </c>
      <c r="I602" s="5">
        <v>7500</v>
      </c>
      <c r="J602" s="5">
        <v>6900</v>
      </c>
      <c r="K602" s="5">
        <f>student_data[[#This Row],[Total Fee]]-student_data[[#This Row],[Deposit Fee]]</f>
        <v>600</v>
      </c>
      <c r="L602" s="5" t="str">
        <f>IF(student_data[[#This Row],[Outstanding Fee]]=0,"Paid",IF(student_data[[#This Row],[Deposit Fee]]=0,"Unpaid","Partially Paid"))</f>
        <v>Partially Paid</v>
      </c>
      <c r="M602" s="5" t="s">
        <v>26</v>
      </c>
      <c r="N602"/>
      <c r="O602"/>
      <c r="P602"/>
      <c r="Q602"/>
      <c r="R602"/>
      <c r="S602"/>
      <c r="T602"/>
      <c r="U602"/>
      <c r="V602"/>
      <c r="W602"/>
    </row>
    <row r="603" spans="1:23" ht="15.4">
      <c r="A603" s="5">
        <v>444</v>
      </c>
      <c r="B603" s="5">
        <v>18444</v>
      </c>
      <c r="C603" s="5" t="s">
        <v>758</v>
      </c>
      <c r="D603" s="5" t="s">
        <v>759</v>
      </c>
      <c r="E603" s="5" t="s">
        <v>9</v>
      </c>
      <c r="F603" s="5" t="s">
        <v>1363</v>
      </c>
      <c r="G603" s="8">
        <v>45533</v>
      </c>
      <c r="H603" s="8" t="str">
        <f t="shared" si="9"/>
        <v>Aug</v>
      </c>
      <c r="I603" s="5">
        <v>7500</v>
      </c>
      <c r="J603" s="5">
        <v>7500</v>
      </c>
      <c r="K603" s="5">
        <f>student_data[[#This Row],[Total Fee]]-student_data[[#This Row],[Deposit Fee]]</f>
        <v>0</v>
      </c>
      <c r="L603" s="5" t="str">
        <f>IF(student_data[[#This Row],[Outstanding Fee]]=0,"Paid",IF(student_data[[#This Row],[Deposit Fee]]=0,"Unpaid","Partially Paid"))</f>
        <v>Paid</v>
      </c>
      <c r="M603" s="5" t="s">
        <v>75</v>
      </c>
      <c r="N603"/>
      <c r="O603"/>
      <c r="P603"/>
      <c r="Q603"/>
      <c r="R603"/>
      <c r="S603"/>
      <c r="T603"/>
      <c r="U603"/>
      <c r="V603"/>
      <c r="W603"/>
    </row>
    <row r="604" spans="1:23" ht="15.4">
      <c r="A604" s="5">
        <v>445</v>
      </c>
      <c r="B604" s="5">
        <v>18445</v>
      </c>
      <c r="C604" s="5" t="s">
        <v>760</v>
      </c>
      <c r="D604" s="5" t="s">
        <v>761</v>
      </c>
      <c r="E604" s="5" t="s">
        <v>9</v>
      </c>
      <c r="F604" s="5" t="s">
        <v>1363</v>
      </c>
      <c r="G604" s="8">
        <v>45534</v>
      </c>
      <c r="H604" s="8" t="str">
        <f t="shared" si="9"/>
        <v>Aug</v>
      </c>
      <c r="I604" s="5">
        <v>7500</v>
      </c>
      <c r="J604" s="5">
        <v>7500</v>
      </c>
      <c r="K604" s="5">
        <f>student_data[[#This Row],[Total Fee]]-student_data[[#This Row],[Deposit Fee]]</f>
        <v>0</v>
      </c>
      <c r="L604" s="5" t="str">
        <f>IF(student_data[[#This Row],[Outstanding Fee]]=0,"Paid",IF(student_data[[#This Row],[Deposit Fee]]=0,"Unpaid","Partially Paid"))</f>
        <v>Paid</v>
      </c>
      <c r="M604" s="5" t="s">
        <v>78</v>
      </c>
      <c r="N604"/>
      <c r="O604"/>
      <c r="P604"/>
      <c r="Q604"/>
      <c r="R604"/>
      <c r="S604"/>
      <c r="T604"/>
      <c r="U604"/>
      <c r="V604"/>
      <c r="W604"/>
    </row>
    <row r="605" spans="1:23" ht="15.4">
      <c r="A605" s="5">
        <v>446</v>
      </c>
      <c r="B605" s="5">
        <v>18446</v>
      </c>
      <c r="C605" s="5" t="s">
        <v>762</v>
      </c>
      <c r="D605" s="5" t="s">
        <v>763</v>
      </c>
      <c r="E605" s="5" t="s">
        <v>9</v>
      </c>
      <c r="F605" s="5" t="s">
        <v>1363</v>
      </c>
      <c r="G605" s="8">
        <v>45534</v>
      </c>
      <c r="H605" s="8" t="str">
        <f t="shared" si="9"/>
        <v>Aug</v>
      </c>
      <c r="I605" s="5">
        <v>7500</v>
      </c>
      <c r="J605" s="5">
        <v>7100</v>
      </c>
      <c r="K605" s="5">
        <f>student_data[[#This Row],[Total Fee]]-student_data[[#This Row],[Deposit Fee]]</f>
        <v>400</v>
      </c>
      <c r="L605" s="5" t="str">
        <f>IF(student_data[[#This Row],[Outstanding Fee]]=0,"Paid",IF(student_data[[#This Row],[Deposit Fee]]=0,"Unpaid","Partially Paid"))</f>
        <v>Partially Paid</v>
      </c>
      <c r="M605" s="5" t="s">
        <v>16</v>
      </c>
      <c r="N605"/>
      <c r="O605"/>
      <c r="P605"/>
      <c r="Q605"/>
      <c r="R605"/>
      <c r="S605"/>
      <c r="T605"/>
      <c r="U605"/>
      <c r="V605"/>
      <c r="W605"/>
    </row>
    <row r="606" spans="1:23" ht="15.4">
      <c r="A606" s="5">
        <v>447</v>
      </c>
      <c r="B606" s="5">
        <v>18447</v>
      </c>
      <c r="C606" s="5" t="s">
        <v>764</v>
      </c>
      <c r="D606" s="5" t="s">
        <v>560</v>
      </c>
      <c r="E606" s="5" t="s">
        <v>9</v>
      </c>
      <c r="F606" s="5" t="s">
        <v>1363</v>
      </c>
      <c r="G606" s="8">
        <v>45534</v>
      </c>
      <c r="H606" s="8" t="str">
        <f t="shared" si="9"/>
        <v>Aug</v>
      </c>
      <c r="I606" s="5">
        <v>7500</v>
      </c>
      <c r="J606" s="5">
        <v>700</v>
      </c>
      <c r="K606" s="5">
        <f>student_data[[#This Row],[Total Fee]]-student_data[[#This Row],[Deposit Fee]]</f>
        <v>6800</v>
      </c>
      <c r="L606" s="5" t="str">
        <f>IF(student_data[[#This Row],[Outstanding Fee]]=0,"Paid",IF(student_data[[#This Row],[Deposit Fee]]=0,"Unpaid","Partially Paid"))</f>
        <v>Partially Paid</v>
      </c>
      <c r="M606" s="5" t="s">
        <v>66</v>
      </c>
      <c r="N606"/>
      <c r="O606"/>
      <c r="P606"/>
      <c r="Q606"/>
      <c r="R606"/>
      <c r="S606"/>
      <c r="T606"/>
      <c r="U606"/>
      <c r="V606"/>
      <c r="W606"/>
    </row>
    <row r="607" spans="1:23" ht="15.4">
      <c r="A607" s="5">
        <v>448</v>
      </c>
      <c r="B607" s="5">
        <v>18448</v>
      </c>
      <c r="C607" s="5" t="s">
        <v>765</v>
      </c>
      <c r="D607" s="5" t="s">
        <v>766</v>
      </c>
      <c r="E607" s="5" t="s">
        <v>25</v>
      </c>
      <c r="F607" s="5" t="s">
        <v>1363</v>
      </c>
      <c r="G607" s="8">
        <v>45535</v>
      </c>
      <c r="H607" s="8" t="str">
        <f t="shared" si="9"/>
        <v>Aug</v>
      </c>
      <c r="I607" s="5">
        <v>7500</v>
      </c>
      <c r="J607" s="5">
        <v>6900</v>
      </c>
      <c r="K607" s="5">
        <f>student_data[[#This Row],[Total Fee]]-student_data[[#This Row],[Deposit Fee]]</f>
        <v>600</v>
      </c>
      <c r="L607" s="5" t="str">
        <f>IF(student_data[[#This Row],[Outstanding Fee]]=0,"Paid",IF(student_data[[#This Row],[Deposit Fee]]=0,"Unpaid","Partially Paid"))</f>
        <v>Partially Paid</v>
      </c>
      <c r="M607" s="5" t="s">
        <v>66</v>
      </c>
      <c r="N607"/>
      <c r="O607"/>
      <c r="P607"/>
      <c r="Q607"/>
      <c r="R607"/>
      <c r="S607"/>
      <c r="T607"/>
      <c r="U607"/>
      <c r="V607"/>
      <c r="W607"/>
    </row>
    <row r="608" spans="1:23" ht="15.4">
      <c r="A608" s="5">
        <v>449</v>
      </c>
      <c r="B608" s="5">
        <v>18449</v>
      </c>
      <c r="C608" s="5" t="s">
        <v>767</v>
      </c>
      <c r="D608" s="5" t="s">
        <v>768</v>
      </c>
      <c r="E608" s="5" t="s">
        <v>25</v>
      </c>
      <c r="F608" s="5" t="s">
        <v>1363</v>
      </c>
      <c r="G608" s="8">
        <v>45535</v>
      </c>
      <c r="H608" s="8" t="str">
        <f t="shared" si="9"/>
        <v>Aug</v>
      </c>
      <c r="I608" s="5">
        <v>7500</v>
      </c>
      <c r="J608" s="5">
        <v>7100</v>
      </c>
      <c r="K608" s="5">
        <f>student_data[[#This Row],[Total Fee]]-student_data[[#This Row],[Deposit Fee]]</f>
        <v>400</v>
      </c>
      <c r="L608" s="5" t="str">
        <f>IF(student_data[[#This Row],[Outstanding Fee]]=0,"Paid",IF(student_data[[#This Row],[Deposit Fee]]=0,"Unpaid","Partially Paid"))</f>
        <v>Partially Paid</v>
      </c>
      <c r="M608" s="5" t="s">
        <v>32</v>
      </c>
      <c r="N608"/>
      <c r="O608"/>
      <c r="P608"/>
      <c r="Q608"/>
      <c r="R608"/>
      <c r="S608"/>
      <c r="T608"/>
      <c r="U608"/>
      <c r="V608"/>
      <c r="W608"/>
    </row>
    <row r="609" spans="1:23" ht="15.4">
      <c r="A609" s="5">
        <v>450</v>
      </c>
      <c r="B609" s="5">
        <v>18450</v>
      </c>
      <c r="C609" s="5" t="s">
        <v>769</v>
      </c>
      <c r="D609" s="5" t="s">
        <v>770</v>
      </c>
      <c r="E609" s="5" t="s">
        <v>25</v>
      </c>
      <c r="F609" s="5" t="s">
        <v>1363</v>
      </c>
      <c r="G609" s="8">
        <v>45535</v>
      </c>
      <c r="H609" s="8" t="str">
        <f t="shared" si="9"/>
        <v>Aug</v>
      </c>
      <c r="I609" s="5">
        <v>7500</v>
      </c>
      <c r="J609" s="5">
        <v>6900</v>
      </c>
      <c r="K609" s="5">
        <f>student_data[[#This Row],[Total Fee]]-student_data[[#This Row],[Deposit Fee]]</f>
        <v>600</v>
      </c>
      <c r="L609" s="5" t="str">
        <f>IF(student_data[[#This Row],[Outstanding Fee]]=0,"Paid",IF(student_data[[#This Row],[Deposit Fee]]=0,"Unpaid","Partially Paid"))</f>
        <v>Partially Paid</v>
      </c>
      <c r="M609" s="5" t="s">
        <v>32</v>
      </c>
      <c r="N609"/>
      <c r="O609"/>
      <c r="P609"/>
      <c r="Q609"/>
      <c r="R609"/>
      <c r="S609"/>
      <c r="T609"/>
      <c r="U609"/>
      <c r="V609"/>
      <c r="W609"/>
    </row>
    <row r="610" spans="1:23" ht="15.4">
      <c r="A610" s="5">
        <v>451</v>
      </c>
      <c r="B610" s="5">
        <v>18451</v>
      </c>
      <c r="C610" s="5" t="s">
        <v>771</v>
      </c>
      <c r="D610" s="5" t="s">
        <v>772</v>
      </c>
      <c r="E610" s="5" t="s">
        <v>9</v>
      </c>
      <c r="F610" s="5" t="s">
        <v>1363</v>
      </c>
      <c r="G610" s="8">
        <v>45537</v>
      </c>
      <c r="H610" s="8" t="str">
        <f t="shared" si="9"/>
        <v>Sep</v>
      </c>
      <c r="I610" s="5">
        <v>7500</v>
      </c>
      <c r="J610" s="5">
        <v>7500</v>
      </c>
      <c r="K610" s="5">
        <f>student_data[[#This Row],[Total Fee]]-student_data[[#This Row],[Deposit Fee]]</f>
        <v>0</v>
      </c>
      <c r="L610" s="5" t="str">
        <f>IF(student_data[[#This Row],[Outstanding Fee]]=0,"Paid",IF(student_data[[#This Row],[Deposit Fee]]=0,"Unpaid","Partially Paid"))</f>
        <v>Paid</v>
      </c>
      <c r="M610" s="5" t="s">
        <v>89</v>
      </c>
      <c r="N610"/>
      <c r="O610"/>
      <c r="P610"/>
      <c r="Q610"/>
      <c r="R610"/>
      <c r="S610"/>
      <c r="T610"/>
      <c r="U610"/>
      <c r="V610"/>
      <c r="W610"/>
    </row>
    <row r="611" spans="1:23" ht="15.4">
      <c r="A611" s="5">
        <v>452</v>
      </c>
      <c r="B611" s="5">
        <v>18452</v>
      </c>
      <c r="C611" s="5" t="s">
        <v>773</v>
      </c>
      <c r="D611" s="5" t="s">
        <v>774</v>
      </c>
      <c r="E611" s="5" t="s">
        <v>9</v>
      </c>
      <c r="F611" s="5" t="s">
        <v>1363</v>
      </c>
      <c r="G611" s="8">
        <v>45537</v>
      </c>
      <c r="H611" s="8" t="str">
        <f t="shared" si="9"/>
        <v>Sep</v>
      </c>
      <c r="I611" s="5">
        <v>7500</v>
      </c>
      <c r="J611" s="5">
        <v>7500</v>
      </c>
      <c r="K611" s="5">
        <f>student_data[[#This Row],[Total Fee]]-student_data[[#This Row],[Deposit Fee]]</f>
        <v>0</v>
      </c>
      <c r="L611" s="5" t="str">
        <f>IF(student_data[[#This Row],[Outstanding Fee]]=0,"Paid",IF(student_data[[#This Row],[Deposit Fee]]=0,"Unpaid","Partially Paid"))</f>
        <v>Paid</v>
      </c>
      <c r="M611" s="5" t="s">
        <v>10</v>
      </c>
      <c r="N611"/>
      <c r="O611"/>
      <c r="P611"/>
      <c r="Q611"/>
      <c r="R611"/>
      <c r="S611"/>
      <c r="T611"/>
      <c r="U611"/>
      <c r="V611"/>
      <c r="W611"/>
    </row>
    <row r="612" spans="1:23" ht="15.4">
      <c r="A612" s="5">
        <v>453</v>
      </c>
      <c r="B612" s="5">
        <v>18453</v>
      </c>
      <c r="C612" s="5" t="s">
        <v>775</v>
      </c>
      <c r="D612" s="5" t="s">
        <v>570</v>
      </c>
      <c r="E612" s="5" t="s">
        <v>9</v>
      </c>
      <c r="F612" s="5" t="s">
        <v>1363</v>
      </c>
      <c r="G612" s="8">
        <v>45537</v>
      </c>
      <c r="H612" s="8" t="str">
        <f t="shared" si="9"/>
        <v>Sep</v>
      </c>
      <c r="I612" s="5">
        <v>7500</v>
      </c>
      <c r="J612" s="5">
        <v>7500</v>
      </c>
      <c r="K612" s="5">
        <f>student_data[[#This Row],[Total Fee]]-student_data[[#This Row],[Deposit Fee]]</f>
        <v>0</v>
      </c>
      <c r="L612" s="5" t="str">
        <f>IF(student_data[[#This Row],[Outstanding Fee]]=0,"Paid",IF(student_data[[#This Row],[Deposit Fee]]=0,"Unpaid","Partially Paid"))</f>
        <v>Paid</v>
      </c>
      <c r="M612" s="5" t="s">
        <v>13</v>
      </c>
      <c r="N612"/>
      <c r="O612"/>
      <c r="P612"/>
      <c r="Q612"/>
      <c r="R612"/>
      <c r="S612"/>
      <c r="T612"/>
      <c r="U612"/>
      <c r="V612"/>
      <c r="W612"/>
    </row>
    <row r="613" spans="1:23" ht="15.4">
      <c r="A613" s="5">
        <v>454</v>
      </c>
      <c r="B613" s="5">
        <v>18454</v>
      </c>
      <c r="C613" s="5" t="s">
        <v>776</v>
      </c>
      <c r="D613" s="5" t="s">
        <v>777</v>
      </c>
      <c r="E613" s="5" t="s">
        <v>9</v>
      </c>
      <c r="F613" s="5" t="s">
        <v>1363</v>
      </c>
      <c r="G613" s="8">
        <v>45538</v>
      </c>
      <c r="H613" s="8" t="str">
        <f t="shared" si="9"/>
        <v>Sep</v>
      </c>
      <c r="I613" s="5">
        <v>7500</v>
      </c>
      <c r="J613" s="5">
        <v>6900</v>
      </c>
      <c r="K613" s="5">
        <f>student_data[[#This Row],[Total Fee]]-student_data[[#This Row],[Deposit Fee]]</f>
        <v>600</v>
      </c>
      <c r="L613" s="5" t="str">
        <f>IF(student_data[[#This Row],[Outstanding Fee]]=0,"Paid",IF(student_data[[#This Row],[Deposit Fee]]=0,"Unpaid","Partially Paid"))</f>
        <v>Partially Paid</v>
      </c>
      <c r="M613" s="5" t="s">
        <v>16</v>
      </c>
      <c r="N613"/>
      <c r="O613"/>
      <c r="P613"/>
      <c r="Q613"/>
      <c r="R613"/>
      <c r="S613"/>
      <c r="T613"/>
      <c r="U613"/>
      <c r="V613"/>
      <c r="W613"/>
    </row>
    <row r="614" spans="1:23" ht="15.4">
      <c r="A614" s="5">
        <v>455</v>
      </c>
      <c r="B614" s="5">
        <v>18455</v>
      </c>
      <c r="C614" s="5" t="s">
        <v>778</v>
      </c>
      <c r="D614" s="5" t="s">
        <v>779</v>
      </c>
      <c r="E614" s="5" t="s">
        <v>25</v>
      </c>
      <c r="F614" s="5" t="s">
        <v>1363</v>
      </c>
      <c r="G614" s="8">
        <v>45538</v>
      </c>
      <c r="H614" s="8" t="str">
        <f t="shared" si="9"/>
        <v>Sep</v>
      </c>
      <c r="I614" s="5">
        <v>7500</v>
      </c>
      <c r="J614" s="5">
        <v>7500</v>
      </c>
      <c r="K614" s="5">
        <f>student_data[[#This Row],[Total Fee]]-student_data[[#This Row],[Deposit Fee]]</f>
        <v>0</v>
      </c>
      <c r="L614" s="5" t="str">
        <f>IF(student_data[[#This Row],[Outstanding Fee]]=0,"Paid",IF(student_data[[#This Row],[Deposit Fee]]=0,"Unpaid","Partially Paid"))</f>
        <v>Paid</v>
      </c>
      <c r="M614" s="5" t="s">
        <v>19</v>
      </c>
      <c r="N614"/>
      <c r="O614"/>
      <c r="P614"/>
      <c r="Q614"/>
      <c r="R614"/>
      <c r="S614"/>
      <c r="T614"/>
      <c r="U614"/>
      <c r="V614"/>
      <c r="W614"/>
    </row>
    <row r="615" spans="1:23" ht="15.4">
      <c r="A615" s="5">
        <v>456</v>
      </c>
      <c r="B615" s="5">
        <v>18456</v>
      </c>
      <c r="C615" s="5" t="s">
        <v>780</v>
      </c>
      <c r="D615" s="5" t="s">
        <v>410</v>
      </c>
      <c r="E615" s="5" t="s">
        <v>9</v>
      </c>
      <c r="F615" s="5" t="s">
        <v>1363</v>
      </c>
      <c r="G615" s="8">
        <v>45538</v>
      </c>
      <c r="H615" s="8" t="str">
        <f t="shared" si="9"/>
        <v>Sep</v>
      </c>
      <c r="I615" s="5">
        <v>7500</v>
      </c>
      <c r="J615" s="5">
        <v>6900</v>
      </c>
      <c r="K615" s="5">
        <f>student_data[[#This Row],[Total Fee]]-student_data[[#This Row],[Deposit Fee]]</f>
        <v>600</v>
      </c>
      <c r="L615" s="5" t="str">
        <f>IF(student_data[[#This Row],[Outstanding Fee]]=0,"Paid",IF(student_data[[#This Row],[Deposit Fee]]=0,"Unpaid","Partially Paid"))</f>
        <v>Partially Paid</v>
      </c>
      <c r="M615" s="5" t="s">
        <v>22</v>
      </c>
      <c r="N615"/>
      <c r="O615"/>
      <c r="P615"/>
      <c r="Q615"/>
      <c r="R615"/>
      <c r="S615"/>
      <c r="T615"/>
      <c r="U615"/>
      <c r="V615"/>
      <c r="W615"/>
    </row>
    <row r="616" spans="1:23" ht="15.4">
      <c r="A616" s="5">
        <v>457</v>
      </c>
      <c r="B616" s="5">
        <v>18457</v>
      </c>
      <c r="C616" s="5" t="s">
        <v>781</v>
      </c>
      <c r="D616" s="5" t="s">
        <v>782</v>
      </c>
      <c r="E616" s="5" t="s">
        <v>25</v>
      </c>
      <c r="F616" s="5" t="s">
        <v>1363</v>
      </c>
      <c r="G616" s="8">
        <v>45539</v>
      </c>
      <c r="H616" s="8" t="str">
        <f t="shared" si="9"/>
        <v>Sep</v>
      </c>
      <c r="I616" s="5">
        <v>7500</v>
      </c>
      <c r="J616" s="5">
        <v>7500</v>
      </c>
      <c r="K616" s="5">
        <f>student_data[[#This Row],[Total Fee]]-student_data[[#This Row],[Deposit Fee]]</f>
        <v>0</v>
      </c>
      <c r="L616" s="5" t="str">
        <f>IF(student_data[[#This Row],[Outstanding Fee]]=0,"Paid",IF(student_data[[#This Row],[Deposit Fee]]=0,"Unpaid","Partially Paid"))</f>
        <v>Paid</v>
      </c>
      <c r="M616" s="5" t="s">
        <v>26</v>
      </c>
      <c r="N616"/>
      <c r="O616"/>
      <c r="P616"/>
      <c r="Q616"/>
      <c r="R616"/>
      <c r="S616"/>
      <c r="T616"/>
      <c r="U616"/>
      <c r="V616"/>
      <c r="W616"/>
    </row>
    <row r="617" spans="1:23" ht="15.4">
      <c r="A617" s="5">
        <v>458</v>
      </c>
      <c r="B617" s="5">
        <v>18458</v>
      </c>
      <c r="C617" s="5" t="s">
        <v>783</v>
      </c>
      <c r="D617" s="5" t="s">
        <v>502</v>
      </c>
      <c r="E617" s="5" t="s">
        <v>25</v>
      </c>
      <c r="F617" s="5" t="s">
        <v>1363</v>
      </c>
      <c r="G617" s="8">
        <v>45539</v>
      </c>
      <c r="H617" s="8" t="str">
        <f t="shared" si="9"/>
        <v>Sep</v>
      </c>
      <c r="I617" s="5">
        <v>7500</v>
      </c>
      <c r="J617" s="5">
        <v>7500</v>
      </c>
      <c r="K617" s="5">
        <f>student_data[[#This Row],[Total Fee]]-student_data[[#This Row],[Deposit Fee]]</f>
        <v>0</v>
      </c>
      <c r="L617" s="5" t="str">
        <f>IF(student_data[[#This Row],[Outstanding Fee]]=0,"Paid",IF(student_data[[#This Row],[Deposit Fee]]=0,"Unpaid","Partially Paid"))</f>
        <v>Paid</v>
      </c>
      <c r="M617" s="5" t="s">
        <v>29</v>
      </c>
      <c r="N617"/>
      <c r="O617"/>
      <c r="P617"/>
      <c r="Q617"/>
      <c r="R617"/>
      <c r="S617"/>
      <c r="T617"/>
      <c r="U617"/>
      <c r="V617"/>
      <c r="W617"/>
    </row>
    <row r="618" spans="1:23" ht="15.4">
      <c r="A618" s="5">
        <v>459</v>
      </c>
      <c r="B618" s="5">
        <v>18459</v>
      </c>
      <c r="C618" s="5" t="s">
        <v>784</v>
      </c>
      <c r="D618" s="5" t="s">
        <v>759</v>
      </c>
      <c r="E618" s="5" t="s">
        <v>9</v>
      </c>
      <c r="F618" s="5" t="s">
        <v>1363</v>
      </c>
      <c r="G618" s="8">
        <v>45539</v>
      </c>
      <c r="H618" s="8" t="str">
        <f t="shared" si="9"/>
        <v>Sep</v>
      </c>
      <c r="I618" s="5">
        <v>7500</v>
      </c>
      <c r="J618" s="5">
        <v>7100</v>
      </c>
      <c r="K618" s="5">
        <f>student_data[[#This Row],[Total Fee]]-student_data[[#This Row],[Deposit Fee]]</f>
        <v>400</v>
      </c>
      <c r="L618" s="5" t="str">
        <f>IF(student_data[[#This Row],[Outstanding Fee]]=0,"Paid",IF(student_data[[#This Row],[Deposit Fee]]=0,"Unpaid","Partially Paid"))</f>
        <v>Partially Paid</v>
      </c>
      <c r="M618" s="5" t="s">
        <v>32</v>
      </c>
      <c r="N618"/>
      <c r="O618"/>
      <c r="P618"/>
      <c r="Q618"/>
      <c r="R618"/>
      <c r="S618"/>
      <c r="T618"/>
      <c r="U618"/>
      <c r="V618"/>
      <c r="W618"/>
    </row>
    <row r="619" spans="1:23" ht="15.4">
      <c r="A619" s="5">
        <v>460</v>
      </c>
      <c r="B619" s="5">
        <v>18460</v>
      </c>
      <c r="C619" s="5" t="s">
        <v>785</v>
      </c>
      <c r="D619" s="5" t="s">
        <v>205</v>
      </c>
      <c r="E619" s="5" t="s">
        <v>9</v>
      </c>
      <c r="F619" s="5" t="s">
        <v>1363</v>
      </c>
      <c r="G619" s="8">
        <v>45540</v>
      </c>
      <c r="H619" s="8" t="str">
        <f t="shared" si="9"/>
        <v>Sep</v>
      </c>
      <c r="I619" s="5">
        <v>7500</v>
      </c>
      <c r="J619" s="5">
        <v>6900</v>
      </c>
      <c r="K619" s="5">
        <f>student_data[[#This Row],[Total Fee]]-student_data[[#This Row],[Deposit Fee]]</f>
        <v>600</v>
      </c>
      <c r="L619" s="5" t="str">
        <f>IF(student_data[[#This Row],[Outstanding Fee]]=0,"Paid",IF(student_data[[#This Row],[Deposit Fee]]=0,"Unpaid","Partially Paid"))</f>
        <v>Partially Paid</v>
      </c>
      <c r="M619" s="5" t="s">
        <v>35</v>
      </c>
      <c r="N619"/>
      <c r="O619"/>
      <c r="P619"/>
      <c r="Q619"/>
      <c r="R619"/>
      <c r="S619"/>
      <c r="T619"/>
      <c r="U619"/>
      <c r="V619"/>
      <c r="W619"/>
    </row>
    <row r="620" spans="1:23" ht="15.4">
      <c r="A620" s="5">
        <v>461</v>
      </c>
      <c r="B620" s="5">
        <v>18461</v>
      </c>
      <c r="C620" s="5" t="s">
        <v>786</v>
      </c>
      <c r="D620" s="5" t="s">
        <v>453</v>
      </c>
      <c r="E620" s="5" t="s">
        <v>9</v>
      </c>
      <c r="F620" s="5" t="s">
        <v>1363</v>
      </c>
      <c r="G620" s="8">
        <v>45540</v>
      </c>
      <c r="H620" s="8" t="str">
        <f t="shared" si="9"/>
        <v>Sep</v>
      </c>
      <c r="I620" s="5">
        <v>7500</v>
      </c>
      <c r="J620" s="5">
        <v>6900</v>
      </c>
      <c r="K620" s="5">
        <f>student_data[[#This Row],[Total Fee]]-student_data[[#This Row],[Deposit Fee]]</f>
        <v>600</v>
      </c>
      <c r="L620" s="5" t="str">
        <f>IF(student_data[[#This Row],[Outstanding Fee]]=0,"Paid",IF(student_data[[#This Row],[Deposit Fee]]=0,"Unpaid","Partially Paid"))</f>
        <v>Partially Paid</v>
      </c>
      <c r="M620" s="5" t="s">
        <v>38</v>
      </c>
      <c r="N620"/>
      <c r="O620"/>
      <c r="P620"/>
      <c r="Q620"/>
      <c r="R620"/>
      <c r="S620"/>
      <c r="T620"/>
      <c r="U620"/>
      <c r="V620"/>
      <c r="W620"/>
    </row>
    <row r="621" spans="1:23" ht="15.4">
      <c r="A621" s="5">
        <v>462</v>
      </c>
      <c r="B621" s="5">
        <v>18462</v>
      </c>
      <c r="C621" s="5" t="s">
        <v>787</v>
      </c>
      <c r="D621" s="5" t="s">
        <v>255</v>
      </c>
      <c r="E621" s="5" t="s">
        <v>9</v>
      </c>
      <c r="F621" s="5" t="s">
        <v>1363</v>
      </c>
      <c r="G621" s="8">
        <v>45540</v>
      </c>
      <c r="H621" s="8" t="str">
        <f t="shared" si="9"/>
        <v>Sep</v>
      </c>
      <c r="I621" s="5">
        <v>7500</v>
      </c>
      <c r="J621" s="5">
        <v>7100</v>
      </c>
      <c r="K621" s="5">
        <f>student_data[[#This Row],[Total Fee]]-student_data[[#This Row],[Deposit Fee]]</f>
        <v>400</v>
      </c>
      <c r="L621" s="5" t="str">
        <f>IF(student_data[[#This Row],[Outstanding Fee]]=0,"Paid",IF(student_data[[#This Row],[Deposit Fee]]=0,"Unpaid","Partially Paid"))</f>
        <v>Partially Paid</v>
      </c>
      <c r="M621" s="5" t="s">
        <v>22</v>
      </c>
      <c r="N621"/>
      <c r="O621"/>
      <c r="P621"/>
      <c r="Q621"/>
      <c r="R621"/>
      <c r="S621"/>
      <c r="T621"/>
      <c r="U621"/>
      <c r="V621"/>
      <c r="W621"/>
    </row>
    <row r="622" spans="1:23" ht="15.4">
      <c r="A622" s="5">
        <v>463</v>
      </c>
      <c r="B622" s="5">
        <v>18463</v>
      </c>
      <c r="C622" s="5" t="s">
        <v>788</v>
      </c>
      <c r="D622" s="5" t="s">
        <v>129</v>
      </c>
      <c r="E622" s="5" t="s">
        <v>25</v>
      </c>
      <c r="F622" s="5" t="s">
        <v>1363</v>
      </c>
      <c r="G622" s="8">
        <v>45541</v>
      </c>
      <c r="H622" s="8" t="str">
        <f t="shared" si="9"/>
        <v>Sep</v>
      </c>
      <c r="I622" s="5">
        <v>7500</v>
      </c>
      <c r="J622" s="5">
        <v>7500</v>
      </c>
      <c r="K622" s="5">
        <f>student_data[[#This Row],[Total Fee]]-student_data[[#This Row],[Deposit Fee]]</f>
        <v>0</v>
      </c>
      <c r="L622" s="5" t="str">
        <f>IF(student_data[[#This Row],[Outstanding Fee]]=0,"Paid",IF(student_data[[#This Row],[Deposit Fee]]=0,"Unpaid","Partially Paid"))</f>
        <v>Paid</v>
      </c>
      <c r="M622" s="5" t="s">
        <v>26</v>
      </c>
      <c r="N622"/>
      <c r="O622"/>
      <c r="P622"/>
      <c r="Q622"/>
      <c r="R622"/>
      <c r="S622"/>
      <c r="T622"/>
      <c r="U622"/>
      <c r="V622"/>
      <c r="W622"/>
    </row>
    <row r="623" spans="1:23" ht="15.4">
      <c r="A623" s="5">
        <v>464</v>
      </c>
      <c r="B623" s="5">
        <v>18464</v>
      </c>
      <c r="C623" s="5" t="s">
        <v>789</v>
      </c>
      <c r="D623" s="5" t="s">
        <v>790</v>
      </c>
      <c r="E623" s="5" t="s">
        <v>9</v>
      </c>
      <c r="F623" s="5" t="s">
        <v>1363</v>
      </c>
      <c r="G623" s="8">
        <v>45541</v>
      </c>
      <c r="H623" s="8" t="str">
        <f t="shared" si="9"/>
        <v>Sep</v>
      </c>
      <c r="I623" s="5">
        <v>7500</v>
      </c>
      <c r="J623" s="5">
        <v>7500</v>
      </c>
      <c r="K623" s="5">
        <f>student_data[[#This Row],[Total Fee]]-student_data[[#This Row],[Deposit Fee]]</f>
        <v>0</v>
      </c>
      <c r="L623" s="5" t="str">
        <f>IF(student_data[[#This Row],[Outstanding Fee]]=0,"Paid",IF(student_data[[#This Row],[Deposit Fee]]=0,"Unpaid","Partially Paid"))</f>
        <v>Paid</v>
      </c>
      <c r="M623" s="5" t="s">
        <v>10</v>
      </c>
      <c r="N623"/>
      <c r="O623"/>
      <c r="P623"/>
      <c r="Q623"/>
      <c r="R623"/>
      <c r="S623"/>
      <c r="T623"/>
      <c r="U623"/>
      <c r="V623"/>
      <c r="W623"/>
    </row>
    <row r="624" spans="1:23" ht="15.4">
      <c r="A624" s="5">
        <v>465</v>
      </c>
      <c r="B624" s="5">
        <v>18465</v>
      </c>
      <c r="C624" s="5" t="s">
        <v>791</v>
      </c>
      <c r="D624" s="5" t="s">
        <v>536</v>
      </c>
      <c r="E624" s="5" t="s">
        <v>25</v>
      </c>
      <c r="F624" s="5" t="s">
        <v>1363</v>
      </c>
      <c r="G624" s="8">
        <v>45541</v>
      </c>
      <c r="H624" s="8" t="str">
        <f t="shared" si="9"/>
        <v>Sep</v>
      </c>
      <c r="I624" s="5">
        <v>7500</v>
      </c>
      <c r="J624" s="5">
        <v>7500</v>
      </c>
      <c r="K624" s="5">
        <f>student_data[[#This Row],[Total Fee]]-student_data[[#This Row],[Deposit Fee]]</f>
        <v>0</v>
      </c>
      <c r="L624" s="5" t="str">
        <f>IF(student_data[[#This Row],[Outstanding Fee]]=0,"Paid",IF(student_data[[#This Row],[Deposit Fee]]=0,"Unpaid","Partially Paid"))</f>
        <v>Paid</v>
      </c>
      <c r="M624" s="5" t="s">
        <v>47</v>
      </c>
      <c r="N624"/>
      <c r="O624"/>
      <c r="P624"/>
      <c r="Q624"/>
      <c r="R624"/>
      <c r="S624"/>
      <c r="T624"/>
      <c r="U624"/>
      <c r="V624"/>
      <c r="W624"/>
    </row>
    <row r="625" spans="1:23" ht="15.4">
      <c r="A625" s="5">
        <v>694</v>
      </c>
      <c r="B625" s="5">
        <v>18694</v>
      </c>
      <c r="C625" s="5" t="s">
        <v>1087</v>
      </c>
      <c r="D625" s="5" t="s">
        <v>1088</v>
      </c>
      <c r="E625" s="5" t="s">
        <v>9</v>
      </c>
      <c r="F625" s="5" t="s">
        <v>1363</v>
      </c>
      <c r="G625" s="8">
        <v>45542</v>
      </c>
      <c r="H625" s="8" t="str">
        <f t="shared" si="9"/>
        <v>Sep</v>
      </c>
      <c r="I625" s="5">
        <v>7500</v>
      </c>
      <c r="J625" s="5">
        <v>7500</v>
      </c>
      <c r="K625" s="5">
        <f>student_data[[#This Row],[Total Fee]]-student_data[[#This Row],[Deposit Fee]]</f>
        <v>0</v>
      </c>
      <c r="L625" s="5" t="str">
        <f>IF(student_data[[#This Row],[Outstanding Fee]]=0,"Paid",IF(student_data[[#This Row],[Deposit Fee]]=0,"Unpaid","Partially Paid"))</f>
        <v>Paid</v>
      </c>
      <c r="M625" s="5" t="s">
        <v>89</v>
      </c>
      <c r="N625"/>
      <c r="O625"/>
      <c r="P625"/>
      <c r="Q625"/>
      <c r="R625"/>
      <c r="S625"/>
      <c r="T625"/>
      <c r="U625"/>
      <c r="V625"/>
      <c r="W625"/>
    </row>
    <row r="626" spans="1:23" ht="15.4">
      <c r="A626" s="5">
        <v>695</v>
      </c>
      <c r="B626" s="5">
        <v>18695</v>
      </c>
      <c r="C626" s="5" t="s">
        <v>1089</v>
      </c>
      <c r="D626" s="5" t="s">
        <v>1090</v>
      </c>
      <c r="E626" s="5" t="s">
        <v>9</v>
      </c>
      <c r="F626" s="5" t="s">
        <v>1363</v>
      </c>
      <c r="G626" s="8">
        <v>45542</v>
      </c>
      <c r="H626" s="8" t="str">
        <f t="shared" si="9"/>
        <v>Sep</v>
      </c>
      <c r="I626" s="5">
        <v>7500</v>
      </c>
      <c r="J626" s="5">
        <v>6900</v>
      </c>
      <c r="K626" s="5">
        <f>student_data[[#This Row],[Total Fee]]-student_data[[#This Row],[Deposit Fee]]</f>
        <v>600</v>
      </c>
      <c r="L626" s="5" t="str">
        <f>IF(student_data[[#This Row],[Outstanding Fee]]=0,"Paid",IF(student_data[[#This Row],[Deposit Fee]]=0,"Unpaid","Partially Paid"))</f>
        <v>Partially Paid</v>
      </c>
      <c r="M626" s="5" t="s">
        <v>10</v>
      </c>
      <c r="N626"/>
      <c r="O626"/>
      <c r="P626"/>
      <c r="Q626"/>
      <c r="R626"/>
      <c r="S626"/>
      <c r="T626"/>
      <c r="U626"/>
      <c r="V626"/>
      <c r="W626"/>
    </row>
    <row r="627" spans="1:23" ht="15.4">
      <c r="A627" s="5">
        <v>825</v>
      </c>
      <c r="B627" s="5">
        <v>18825</v>
      </c>
      <c r="C627" s="5" t="s">
        <v>1266</v>
      </c>
      <c r="D627" s="5" t="s">
        <v>864</v>
      </c>
      <c r="E627" s="5" t="s">
        <v>25</v>
      </c>
      <c r="F627" s="5" t="s">
        <v>1363</v>
      </c>
      <c r="G627" s="8">
        <v>45542</v>
      </c>
      <c r="H627" s="8" t="str">
        <f t="shared" si="9"/>
        <v>Sep</v>
      </c>
      <c r="I627" s="5">
        <v>7500</v>
      </c>
      <c r="J627" s="5">
        <v>6900</v>
      </c>
      <c r="K627" s="5">
        <f>student_data[[#This Row],[Total Fee]]-student_data[[#This Row],[Deposit Fee]]</f>
        <v>600</v>
      </c>
      <c r="L627" s="5" t="str">
        <f>IF(student_data[[#This Row],[Outstanding Fee]]=0,"Paid",IF(student_data[[#This Row],[Deposit Fee]]=0,"Unpaid","Partially Paid"))</f>
        <v>Partially Paid</v>
      </c>
      <c r="M627" s="5" t="s">
        <v>13</v>
      </c>
      <c r="N627"/>
      <c r="O627"/>
      <c r="P627"/>
      <c r="Q627"/>
      <c r="R627"/>
      <c r="S627"/>
      <c r="T627"/>
      <c r="U627"/>
      <c r="V627"/>
      <c r="W627"/>
    </row>
    <row r="628" spans="1:23" ht="15.4">
      <c r="A628" s="5">
        <v>44</v>
      </c>
      <c r="B628" s="5">
        <v>18044</v>
      </c>
      <c r="C628" s="5" t="s">
        <v>108</v>
      </c>
      <c r="D628" s="5" t="s">
        <v>109</v>
      </c>
      <c r="E628" s="5" t="s">
        <v>9</v>
      </c>
      <c r="F628" s="5" t="s">
        <v>1361</v>
      </c>
      <c r="G628" s="8">
        <v>45544</v>
      </c>
      <c r="H628" s="8" t="str">
        <f t="shared" si="9"/>
        <v>Sep</v>
      </c>
      <c r="I628" s="5">
        <v>5500</v>
      </c>
      <c r="J628" s="5">
        <v>5500</v>
      </c>
      <c r="K628" s="5">
        <f>student_data[[#This Row],[Total Fee]]-student_data[[#This Row],[Deposit Fee]]</f>
        <v>0</v>
      </c>
      <c r="L628" s="5" t="str">
        <f>IF(student_data[[#This Row],[Outstanding Fee]]=0,"Paid",IF(student_data[[#This Row],[Deposit Fee]]=0,"Unpaid","Partially Paid"))</f>
        <v>Paid</v>
      </c>
      <c r="M628" s="5" t="s">
        <v>19</v>
      </c>
      <c r="N628"/>
      <c r="O628"/>
      <c r="P628"/>
      <c r="Q628"/>
      <c r="R628"/>
      <c r="S628"/>
      <c r="T628"/>
      <c r="U628"/>
      <c r="V628"/>
      <c r="W628"/>
    </row>
    <row r="629" spans="1:23" ht="15.4">
      <c r="A629" s="5">
        <v>466</v>
      </c>
      <c r="B629" s="5">
        <v>18466</v>
      </c>
      <c r="C629" s="5" t="s">
        <v>792</v>
      </c>
      <c r="D629" s="5" t="s">
        <v>793</v>
      </c>
      <c r="E629" s="5" t="s">
        <v>9</v>
      </c>
      <c r="F629" s="5" t="s">
        <v>1362</v>
      </c>
      <c r="G629" s="8">
        <v>45544</v>
      </c>
      <c r="H629" s="8" t="str">
        <f t="shared" si="9"/>
        <v>Sep</v>
      </c>
      <c r="I629" s="5">
        <v>3200</v>
      </c>
      <c r="J629" s="5">
        <v>2800</v>
      </c>
      <c r="K629" s="5">
        <f>student_data[[#This Row],[Total Fee]]-student_data[[#This Row],[Deposit Fee]]</f>
        <v>400</v>
      </c>
      <c r="L629" s="5" t="str">
        <f>IF(student_data[[#This Row],[Outstanding Fee]]=0,"Paid",IF(student_data[[#This Row],[Deposit Fee]]=0,"Unpaid","Partially Paid"))</f>
        <v>Partially Paid</v>
      </c>
      <c r="M629" s="5" t="s">
        <v>50</v>
      </c>
      <c r="N629"/>
      <c r="O629"/>
      <c r="P629"/>
      <c r="Q629"/>
      <c r="R629"/>
      <c r="S629"/>
      <c r="T629"/>
      <c r="U629"/>
      <c r="V629"/>
      <c r="W629"/>
    </row>
    <row r="630" spans="1:23" ht="15.4">
      <c r="A630" s="5">
        <v>696</v>
      </c>
      <c r="B630" s="5">
        <v>18696</v>
      </c>
      <c r="C630" s="5" t="s">
        <v>597</v>
      </c>
      <c r="D630" s="5" t="s">
        <v>1091</v>
      </c>
      <c r="E630" s="5" t="s">
        <v>9</v>
      </c>
      <c r="F630" s="5" t="s">
        <v>1360</v>
      </c>
      <c r="G630" s="8">
        <v>45544</v>
      </c>
      <c r="H630" s="8" t="str">
        <f t="shared" si="9"/>
        <v>Sep</v>
      </c>
      <c r="I630" s="5">
        <v>4400</v>
      </c>
      <c r="J630" s="5">
        <v>3800</v>
      </c>
      <c r="K630" s="5">
        <f>student_data[[#This Row],[Total Fee]]-student_data[[#This Row],[Deposit Fee]]</f>
        <v>600</v>
      </c>
      <c r="L630" s="5" t="str">
        <f>IF(student_data[[#This Row],[Outstanding Fee]]=0,"Paid",IF(student_data[[#This Row],[Deposit Fee]]=0,"Unpaid","Partially Paid"))</f>
        <v>Partially Paid</v>
      </c>
      <c r="M630" s="5" t="s">
        <v>13</v>
      </c>
      <c r="N630"/>
      <c r="O630"/>
      <c r="P630"/>
      <c r="Q630"/>
      <c r="R630"/>
      <c r="S630"/>
      <c r="T630"/>
      <c r="U630"/>
      <c r="V630"/>
      <c r="W630"/>
    </row>
    <row r="631" spans="1:23" ht="15.4">
      <c r="A631" s="5">
        <v>45</v>
      </c>
      <c r="B631" s="5">
        <v>18045</v>
      </c>
      <c r="C631" s="5" t="s">
        <v>110</v>
      </c>
      <c r="D631" s="5" t="s">
        <v>111</v>
      </c>
      <c r="E631" s="5" t="s">
        <v>25</v>
      </c>
      <c r="F631" s="5" t="s">
        <v>1361</v>
      </c>
      <c r="G631" s="8">
        <v>45545</v>
      </c>
      <c r="H631" s="8" t="str">
        <f t="shared" si="9"/>
        <v>Sep</v>
      </c>
      <c r="I631" s="5">
        <v>5500</v>
      </c>
      <c r="J631" s="5">
        <v>5500</v>
      </c>
      <c r="K631" s="5">
        <f>student_data[[#This Row],[Total Fee]]-student_data[[#This Row],[Deposit Fee]]</f>
        <v>0</v>
      </c>
      <c r="L631" s="5" t="str">
        <f>IF(student_data[[#This Row],[Outstanding Fee]]=0,"Paid",IF(student_data[[#This Row],[Deposit Fee]]=0,"Unpaid","Partially Paid"))</f>
        <v>Paid</v>
      </c>
      <c r="M631" s="5" t="s">
        <v>47</v>
      </c>
      <c r="N631"/>
      <c r="O631"/>
      <c r="P631"/>
      <c r="Q631"/>
      <c r="R631"/>
      <c r="S631"/>
      <c r="T631"/>
      <c r="U631"/>
      <c r="V631"/>
      <c r="W631"/>
    </row>
    <row r="632" spans="1:23" ht="15.4">
      <c r="A632" s="5">
        <v>901</v>
      </c>
      <c r="B632" s="5">
        <v>18901</v>
      </c>
      <c r="C632" s="5" t="s">
        <v>1339</v>
      </c>
      <c r="D632" s="5" t="s">
        <v>1119</v>
      </c>
      <c r="E632" s="5" t="s">
        <v>25</v>
      </c>
      <c r="F632" s="5" t="s">
        <v>1362</v>
      </c>
      <c r="G632" s="8">
        <v>45545</v>
      </c>
      <c r="H632" s="8" t="str">
        <f t="shared" si="9"/>
        <v>Sep</v>
      </c>
      <c r="I632" s="5">
        <v>3200</v>
      </c>
      <c r="J632" s="5">
        <v>2600</v>
      </c>
      <c r="K632" s="5">
        <f>student_data[[#This Row],[Total Fee]]-student_data[[#This Row],[Deposit Fee]]</f>
        <v>600</v>
      </c>
      <c r="L632" s="5" t="str">
        <f>IF(student_data[[#This Row],[Outstanding Fee]]=0,"Paid",IF(student_data[[#This Row],[Deposit Fee]]=0,"Unpaid","Partially Paid"))</f>
        <v>Partially Paid</v>
      </c>
      <c r="M632" s="5" t="s">
        <v>47</v>
      </c>
      <c r="N632"/>
      <c r="O632"/>
      <c r="P632"/>
      <c r="Q632"/>
      <c r="R632"/>
      <c r="S632"/>
      <c r="T632"/>
      <c r="U632"/>
      <c r="V632"/>
      <c r="W632"/>
    </row>
    <row r="633" spans="1:23" ht="15.4">
      <c r="A633" s="5">
        <v>902</v>
      </c>
      <c r="B633" s="5">
        <v>18902</v>
      </c>
      <c r="C633" s="5" t="s">
        <v>1340</v>
      </c>
      <c r="D633" s="5" t="s">
        <v>1341</v>
      </c>
      <c r="E633" s="5" t="s">
        <v>25</v>
      </c>
      <c r="F633" s="5" t="s">
        <v>1360</v>
      </c>
      <c r="G633" s="8">
        <v>45545</v>
      </c>
      <c r="H633" s="8" t="str">
        <f t="shared" si="9"/>
        <v>Sep</v>
      </c>
      <c r="I633" s="5">
        <v>4400</v>
      </c>
      <c r="J633" s="5">
        <v>4400</v>
      </c>
      <c r="K633" s="5">
        <f>student_data[[#This Row],[Total Fee]]-student_data[[#This Row],[Deposit Fee]]</f>
        <v>0</v>
      </c>
      <c r="L633" s="5" t="str">
        <f>IF(student_data[[#This Row],[Outstanding Fee]]=0,"Paid",IF(student_data[[#This Row],[Deposit Fee]]=0,"Unpaid","Partially Paid"))</f>
        <v>Paid</v>
      </c>
      <c r="M633" s="5" t="s">
        <v>75</v>
      </c>
      <c r="N633"/>
      <c r="O633"/>
      <c r="P633"/>
      <c r="Q633"/>
      <c r="R633"/>
      <c r="S633"/>
      <c r="T633"/>
      <c r="U633"/>
      <c r="V633"/>
      <c r="W633"/>
    </row>
    <row r="634" spans="1:23" ht="15.4">
      <c r="A634" s="5">
        <v>467</v>
      </c>
      <c r="B634" s="5">
        <v>18467</v>
      </c>
      <c r="C634" s="5" t="s">
        <v>167</v>
      </c>
      <c r="D634" s="5" t="s">
        <v>794</v>
      </c>
      <c r="E634" s="5" t="s">
        <v>9</v>
      </c>
      <c r="F634" s="5" t="s">
        <v>1360</v>
      </c>
      <c r="G634" s="8">
        <v>45546</v>
      </c>
      <c r="H634" s="8" t="str">
        <f t="shared" si="9"/>
        <v>Sep</v>
      </c>
      <c r="I634" s="5">
        <v>4400</v>
      </c>
      <c r="J634" s="5">
        <v>4400</v>
      </c>
      <c r="K634" s="5">
        <f>student_data[[#This Row],[Total Fee]]-student_data[[#This Row],[Deposit Fee]]</f>
        <v>0</v>
      </c>
      <c r="L634" s="5" t="str">
        <f>IF(student_data[[#This Row],[Outstanding Fee]]=0,"Paid",IF(student_data[[#This Row],[Deposit Fee]]=0,"Unpaid","Partially Paid"))</f>
        <v>Paid</v>
      </c>
      <c r="M634" s="5" t="s">
        <v>53</v>
      </c>
      <c r="N634"/>
      <c r="O634"/>
      <c r="P634"/>
      <c r="Q634"/>
      <c r="R634"/>
      <c r="S634"/>
      <c r="T634"/>
      <c r="U634"/>
      <c r="V634"/>
      <c r="W634"/>
    </row>
    <row r="635" spans="1:23" ht="15.4">
      <c r="A635" s="5">
        <v>903</v>
      </c>
      <c r="B635" s="5">
        <v>18903</v>
      </c>
      <c r="C635" s="5" t="s">
        <v>1342</v>
      </c>
      <c r="D635" s="5" t="s">
        <v>1343</v>
      </c>
      <c r="E635" s="5" t="s">
        <v>9</v>
      </c>
      <c r="F635" s="5" t="s">
        <v>1362</v>
      </c>
      <c r="G635" s="8">
        <v>45546</v>
      </c>
      <c r="H635" s="8" t="str">
        <f t="shared" si="9"/>
        <v>Sep</v>
      </c>
      <c r="I635" s="5">
        <v>3200</v>
      </c>
      <c r="J635" s="5">
        <v>3200</v>
      </c>
      <c r="K635" s="5">
        <f>student_data[[#This Row],[Total Fee]]-student_data[[#This Row],[Deposit Fee]]</f>
        <v>0</v>
      </c>
      <c r="L635" s="5" t="str">
        <f>IF(student_data[[#This Row],[Outstanding Fee]]=0,"Paid",IF(student_data[[#This Row],[Deposit Fee]]=0,"Unpaid","Partially Paid"))</f>
        <v>Paid</v>
      </c>
      <c r="M635" s="5" t="s">
        <v>89</v>
      </c>
      <c r="N635"/>
      <c r="O635"/>
      <c r="P635"/>
      <c r="Q635"/>
      <c r="R635"/>
      <c r="S635"/>
      <c r="T635"/>
      <c r="U635"/>
      <c r="V635"/>
      <c r="W635"/>
    </row>
    <row r="636" spans="1:23" ht="15.4">
      <c r="A636" s="5">
        <v>904</v>
      </c>
      <c r="B636" s="5">
        <v>18904</v>
      </c>
      <c r="C636" s="5" t="s">
        <v>1344</v>
      </c>
      <c r="D636" s="5" t="s">
        <v>1345</v>
      </c>
      <c r="E636" s="5" t="s">
        <v>9</v>
      </c>
      <c r="F636" s="5" t="s">
        <v>1362</v>
      </c>
      <c r="G636" s="8">
        <v>45546</v>
      </c>
      <c r="H636" s="8" t="str">
        <f t="shared" si="9"/>
        <v>Sep</v>
      </c>
      <c r="I636" s="5">
        <v>3200</v>
      </c>
      <c r="J636" s="5">
        <v>2600</v>
      </c>
      <c r="K636" s="5">
        <f>student_data[[#This Row],[Total Fee]]-student_data[[#This Row],[Deposit Fee]]</f>
        <v>600</v>
      </c>
      <c r="L636" s="5" t="str">
        <f>IF(student_data[[#This Row],[Outstanding Fee]]=0,"Paid",IF(student_data[[#This Row],[Deposit Fee]]=0,"Unpaid","Partially Paid"))</f>
        <v>Partially Paid</v>
      </c>
      <c r="M636" s="5" t="s">
        <v>10</v>
      </c>
      <c r="N636"/>
      <c r="O636"/>
      <c r="P636"/>
      <c r="Q636"/>
      <c r="R636"/>
      <c r="S636"/>
      <c r="T636"/>
      <c r="U636"/>
      <c r="V636"/>
      <c r="W636"/>
    </row>
    <row r="637" spans="1:23" ht="15.4">
      <c r="A637" s="5">
        <v>97</v>
      </c>
      <c r="B637" s="5">
        <v>18097</v>
      </c>
      <c r="C637" s="5" t="s">
        <v>165</v>
      </c>
      <c r="D637" s="5" t="s">
        <v>193</v>
      </c>
      <c r="E637" s="5" t="s">
        <v>25</v>
      </c>
      <c r="F637" s="5" t="s">
        <v>1360</v>
      </c>
      <c r="G637" s="8">
        <v>45547</v>
      </c>
      <c r="H637" s="8" t="str">
        <f t="shared" si="9"/>
        <v>Sep</v>
      </c>
      <c r="I637" s="5">
        <v>4400</v>
      </c>
      <c r="J637" s="5">
        <v>3800</v>
      </c>
      <c r="K637" s="5">
        <f>student_data[[#This Row],[Total Fee]]-student_data[[#This Row],[Deposit Fee]]</f>
        <v>600</v>
      </c>
      <c r="L637" s="5" t="str">
        <f>IF(student_data[[#This Row],[Outstanding Fee]]=0,"Paid",IF(student_data[[#This Row],[Deposit Fee]]=0,"Unpaid","Partially Paid"))</f>
        <v>Partially Paid</v>
      </c>
      <c r="M637" s="5" t="s">
        <v>10</v>
      </c>
      <c r="N637"/>
      <c r="O637"/>
      <c r="P637"/>
      <c r="Q637"/>
      <c r="R637"/>
      <c r="S637"/>
      <c r="T637"/>
      <c r="U637"/>
      <c r="V637"/>
      <c r="W637"/>
    </row>
    <row r="638" spans="1:23" ht="15.4">
      <c r="A638" s="5">
        <v>648</v>
      </c>
      <c r="B638" s="5">
        <v>18648</v>
      </c>
      <c r="C638" s="5" t="s">
        <v>895</v>
      </c>
      <c r="D638" s="5" t="s">
        <v>1023</v>
      </c>
      <c r="E638" s="5" t="s">
        <v>9</v>
      </c>
      <c r="F638" s="5" t="s">
        <v>1360</v>
      </c>
      <c r="G638" s="8">
        <v>45547</v>
      </c>
      <c r="H638" s="8" t="str">
        <f t="shared" si="9"/>
        <v>Sep</v>
      </c>
      <c r="I638" s="5">
        <v>4400</v>
      </c>
      <c r="J638" s="5">
        <v>4400</v>
      </c>
      <c r="K638" s="5">
        <f>student_data[[#This Row],[Total Fee]]-student_data[[#This Row],[Deposit Fee]]</f>
        <v>0</v>
      </c>
      <c r="L638" s="5" t="str">
        <f>IF(student_data[[#This Row],[Outstanding Fee]]=0,"Paid",IF(student_data[[#This Row],[Deposit Fee]]=0,"Unpaid","Partially Paid"))</f>
        <v>Paid</v>
      </c>
      <c r="M638" s="5" t="s">
        <v>75</v>
      </c>
      <c r="N638"/>
      <c r="O638"/>
      <c r="P638"/>
      <c r="Q638"/>
      <c r="R638"/>
      <c r="S638"/>
      <c r="T638"/>
      <c r="U638"/>
      <c r="V638"/>
      <c r="W638"/>
    </row>
    <row r="639" spans="1:23" ht="15.4">
      <c r="A639" s="5">
        <v>850</v>
      </c>
      <c r="B639" s="5">
        <v>18850</v>
      </c>
      <c r="C639" s="5" t="s">
        <v>189</v>
      </c>
      <c r="D639" s="5" t="s">
        <v>241</v>
      </c>
      <c r="E639" s="5" t="s">
        <v>9</v>
      </c>
      <c r="F639" s="5" t="s">
        <v>1360</v>
      </c>
      <c r="G639" s="8">
        <v>45547</v>
      </c>
      <c r="H639" s="8" t="str">
        <f t="shared" si="9"/>
        <v>Sep</v>
      </c>
      <c r="I639" s="5">
        <v>4400</v>
      </c>
      <c r="J639" s="5">
        <v>3800</v>
      </c>
      <c r="K639" s="5">
        <f>student_data[[#This Row],[Total Fee]]-student_data[[#This Row],[Deposit Fee]]</f>
        <v>600</v>
      </c>
      <c r="L639" s="5" t="str">
        <f>IF(student_data[[#This Row],[Outstanding Fee]]=0,"Paid",IF(student_data[[#This Row],[Deposit Fee]]=0,"Unpaid","Partially Paid"))</f>
        <v>Partially Paid</v>
      </c>
      <c r="M639" s="5" t="s">
        <v>16</v>
      </c>
      <c r="N639"/>
      <c r="O639"/>
      <c r="P639"/>
      <c r="Q639"/>
      <c r="R639"/>
      <c r="S639"/>
      <c r="T639"/>
      <c r="U639"/>
      <c r="V639"/>
      <c r="W639"/>
    </row>
    <row r="640" spans="1:23" ht="15.4">
      <c r="A640" s="5">
        <v>120</v>
      </c>
      <c r="B640" s="5">
        <v>18120</v>
      </c>
      <c r="C640" s="5" t="s">
        <v>199</v>
      </c>
      <c r="D640" s="5" t="s">
        <v>233</v>
      </c>
      <c r="E640" s="5" t="s">
        <v>9</v>
      </c>
      <c r="F640" s="5" t="s">
        <v>1360</v>
      </c>
      <c r="G640" s="8">
        <v>45548</v>
      </c>
      <c r="H640" s="8" t="str">
        <f t="shared" si="9"/>
        <v>Sep</v>
      </c>
      <c r="I640" s="5">
        <v>4400</v>
      </c>
      <c r="J640" s="5">
        <v>4400</v>
      </c>
      <c r="K640" s="5">
        <f>student_data[[#This Row],[Total Fee]]-student_data[[#This Row],[Deposit Fee]]</f>
        <v>0</v>
      </c>
      <c r="L640" s="5" t="str">
        <f>IF(student_data[[#This Row],[Outstanding Fee]]=0,"Paid",IF(student_data[[#This Row],[Deposit Fee]]=0,"Unpaid","Partially Paid"))</f>
        <v>Paid</v>
      </c>
      <c r="M640" s="5" t="s">
        <v>47</v>
      </c>
      <c r="N640"/>
      <c r="O640"/>
      <c r="P640"/>
      <c r="Q640"/>
      <c r="R640"/>
      <c r="S640"/>
      <c r="T640"/>
      <c r="U640"/>
      <c r="V640"/>
      <c r="W640"/>
    </row>
    <row r="641" spans="1:23" ht="15.4">
      <c r="A641" s="5">
        <v>121</v>
      </c>
      <c r="B641" s="5">
        <v>18121</v>
      </c>
      <c r="C641" s="5" t="s">
        <v>215</v>
      </c>
      <c r="D641" s="5" t="s">
        <v>234</v>
      </c>
      <c r="E641" s="5" t="s">
        <v>25</v>
      </c>
      <c r="F641" s="5" t="s">
        <v>1360</v>
      </c>
      <c r="G641" s="8">
        <v>45548</v>
      </c>
      <c r="H641" s="8" t="str">
        <f t="shared" si="9"/>
        <v>Sep</v>
      </c>
      <c r="I641" s="5">
        <v>4400</v>
      </c>
      <c r="J641" s="5">
        <v>4400</v>
      </c>
      <c r="K641" s="5">
        <f>student_data[[#This Row],[Total Fee]]-student_data[[#This Row],[Deposit Fee]]</f>
        <v>0</v>
      </c>
      <c r="L641" s="5" t="str">
        <f>IF(student_data[[#This Row],[Outstanding Fee]]=0,"Paid",IF(student_data[[#This Row],[Deposit Fee]]=0,"Unpaid","Partially Paid"))</f>
        <v>Paid</v>
      </c>
      <c r="M641" s="5" t="s">
        <v>47</v>
      </c>
      <c r="N641"/>
      <c r="O641"/>
      <c r="P641"/>
      <c r="Q641"/>
      <c r="R641"/>
      <c r="S641"/>
      <c r="T641"/>
      <c r="U641"/>
      <c r="V641"/>
      <c r="W641"/>
    </row>
    <row r="642" spans="1:23" ht="15.4">
      <c r="A642" s="5">
        <v>905</v>
      </c>
      <c r="B642" s="5">
        <v>18905</v>
      </c>
      <c r="C642" s="5" t="s">
        <v>937</v>
      </c>
      <c r="D642" s="5" t="s">
        <v>594</v>
      </c>
      <c r="E642" s="5" t="s">
        <v>25</v>
      </c>
      <c r="F642" s="5" t="s">
        <v>1360</v>
      </c>
      <c r="G642" s="8">
        <v>45548</v>
      </c>
      <c r="H642" s="8" t="str">
        <f t="shared" ref="H642:H705" si="10">TEXT(G642,"mmm")</f>
        <v>Sep</v>
      </c>
      <c r="I642" s="5">
        <v>4400</v>
      </c>
      <c r="J642" s="5">
        <v>4400</v>
      </c>
      <c r="K642" s="5">
        <f>student_data[[#This Row],[Total Fee]]-student_data[[#This Row],[Deposit Fee]]</f>
        <v>0</v>
      </c>
      <c r="L642" s="5" t="str">
        <f>IF(student_data[[#This Row],[Outstanding Fee]]=0,"Paid",IF(student_data[[#This Row],[Deposit Fee]]=0,"Unpaid","Partially Paid"))</f>
        <v>Paid</v>
      </c>
      <c r="M642" s="5" t="s">
        <v>13</v>
      </c>
      <c r="N642"/>
      <c r="O642"/>
      <c r="P642"/>
      <c r="Q642"/>
      <c r="R642"/>
      <c r="S642"/>
      <c r="T642"/>
      <c r="U642"/>
      <c r="V642"/>
      <c r="W642"/>
    </row>
    <row r="643" spans="1:23" ht="15.4">
      <c r="A643" s="5">
        <v>122</v>
      </c>
      <c r="B643" s="5">
        <v>18122</v>
      </c>
      <c r="C643" s="5" t="s">
        <v>217</v>
      </c>
      <c r="D643" s="5" t="s">
        <v>235</v>
      </c>
      <c r="E643" s="5" t="s">
        <v>9</v>
      </c>
      <c r="F643" s="5" t="s">
        <v>1360</v>
      </c>
      <c r="G643" s="8">
        <v>45549</v>
      </c>
      <c r="H643" s="8" t="str">
        <f t="shared" si="10"/>
        <v>Sep</v>
      </c>
      <c r="I643" s="5">
        <v>4400</v>
      </c>
      <c r="J643" s="5">
        <v>4000</v>
      </c>
      <c r="K643" s="5">
        <f>student_data[[#This Row],[Total Fee]]-student_data[[#This Row],[Deposit Fee]]</f>
        <v>400</v>
      </c>
      <c r="L643" s="5" t="str">
        <f>IF(student_data[[#This Row],[Outstanding Fee]]=0,"Paid",IF(student_data[[#This Row],[Deposit Fee]]=0,"Unpaid","Partially Paid"))</f>
        <v>Partially Paid</v>
      </c>
      <c r="M643" s="5" t="s">
        <v>78</v>
      </c>
      <c r="N643"/>
      <c r="O643"/>
      <c r="P643"/>
      <c r="Q643"/>
      <c r="R643"/>
      <c r="S643"/>
      <c r="T643"/>
      <c r="U643"/>
      <c r="V643"/>
      <c r="W643"/>
    </row>
    <row r="644" spans="1:23" ht="15.4">
      <c r="A644" s="5">
        <v>123</v>
      </c>
      <c r="B644" s="5">
        <v>18123</v>
      </c>
      <c r="C644" s="5" t="s">
        <v>220</v>
      </c>
      <c r="D644" s="5" t="s">
        <v>236</v>
      </c>
      <c r="E644" s="5" t="s">
        <v>9</v>
      </c>
      <c r="F644" s="5" t="s">
        <v>1360</v>
      </c>
      <c r="G644" s="8">
        <v>45549</v>
      </c>
      <c r="H644" s="8" t="str">
        <f t="shared" si="10"/>
        <v>Sep</v>
      </c>
      <c r="I644" s="5">
        <v>4400</v>
      </c>
      <c r="J644" s="5">
        <v>4000</v>
      </c>
      <c r="K644" s="5">
        <f>student_data[[#This Row],[Total Fee]]-student_data[[#This Row],[Deposit Fee]]</f>
        <v>400</v>
      </c>
      <c r="L644" s="5" t="str">
        <f>IF(student_data[[#This Row],[Outstanding Fee]]=0,"Paid",IF(student_data[[#This Row],[Deposit Fee]]=0,"Unpaid","Partially Paid"))</f>
        <v>Partially Paid</v>
      </c>
      <c r="M644" s="5" t="s">
        <v>16</v>
      </c>
      <c r="N644"/>
      <c r="O644"/>
      <c r="P644"/>
      <c r="Q644"/>
      <c r="R644"/>
      <c r="S644"/>
      <c r="T644"/>
      <c r="U644"/>
      <c r="V644"/>
      <c r="W644"/>
    </row>
    <row r="645" spans="1:23" ht="15.4">
      <c r="A645" s="5">
        <v>124</v>
      </c>
      <c r="B645" s="5">
        <v>18124</v>
      </c>
      <c r="C645" s="5" t="s">
        <v>203</v>
      </c>
      <c r="D645" s="5" t="s">
        <v>234</v>
      </c>
      <c r="E645" s="5" t="s">
        <v>9</v>
      </c>
      <c r="F645" s="5" t="s">
        <v>1360</v>
      </c>
      <c r="G645" s="8">
        <v>45549</v>
      </c>
      <c r="H645" s="8" t="str">
        <f t="shared" si="10"/>
        <v>Sep</v>
      </c>
      <c r="I645" s="5">
        <v>4400</v>
      </c>
      <c r="J645" s="5">
        <v>3800</v>
      </c>
      <c r="K645" s="5">
        <f>student_data[[#This Row],[Total Fee]]-student_data[[#This Row],[Deposit Fee]]</f>
        <v>600</v>
      </c>
      <c r="L645" s="5" t="str">
        <f>IF(student_data[[#This Row],[Outstanding Fee]]=0,"Paid",IF(student_data[[#This Row],[Deposit Fee]]=0,"Unpaid","Partially Paid"))</f>
        <v>Partially Paid</v>
      </c>
      <c r="M645" s="5" t="s">
        <v>19</v>
      </c>
      <c r="N645"/>
      <c r="O645"/>
      <c r="P645"/>
      <c r="Q645"/>
      <c r="R645"/>
      <c r="S645"/>
      <c r="T645"/>
      <c r="U645"/>
      <c r="V645"/>
      <c r="W645"/>
    </row>
    <row r="646" spans="1:23" ht="15.4">
      <c r="A646" s="5">
        <v>125</v>
      </c>
      <c r="B646" s="5">
        <v>18125</v>
      </c>
      <c r="C646" s="5" t="s">
        <v>218</v>
      </c>
      <c r="D646" s="5" t="s">
        <v>237</v>
      </c>
      <c r="E646" s="5" t="s">
        <v>25</v>
      </c>
      <c r="F646" s="5" t="s">
        <v>1360</v>
      </c>
      <c r="G646" s="8">
        <v>45551</v>
      </c>
      <c r="H646" s="8" t="str">
        <f t="shared" si="10"/>
        <v>Sep</v>
      </c>
      <c r="I646" s="5">
        <v>4400</v>
      </c>
      <c r="J646" s="5">
        <v>4400</v>
      </c>
      <c r="K646" s="5">
        <f>student_data[[#This Row],[Total Fee]]-student_data[[#This Row],[Deposit Fee]]</f>
        <v>0</v>
      </c>
      <c r="L646" s="5" t="str">
        <f>IF(student_data[[#This Row],[Outstanding Fee]]=0,"Paid",IF(student_data[[#This Row],[Deposit Fee]]=0,"Unpaid","Partially Paid"))</f>
        <v>Paid</v>
      </c>
      <c r="M646" s="5" t="s">
        <v>47</v>
      </c>
      <c r="N646"/>
      <c r="O646"/>
      <c r="P646"/>
      <c r="Q646"/>
      <c r="R646"/>
      <c r="S646"/>
      <c r="T646"/>
      <c r="U646"/>
      <c r="V646"/>
      <c r="W646"/>
    </row>
    <row r="647" spans="1:23" ht="15.4">
      <c r="A647" s="5">
        <v>126</v>
      </c>
      <c r="B647" s="5">
        <v>18126</v>
      </c>
      <c r="C647" s="5" t="s">
        <v>208</v>
      </c>
      <c r="D647" s="5" t="s">
        <v>238</v>
      </c>
      <c r="E647" s="5" t="s">
        <v>9</v>
      </c>
      <c r="F647" s="5" t="s">
        <v>1360</v>
      </c>
      <c r="G647" s="8">
        <v>45551</v>
      </c>
      <c r="H647" s="8" t="str">
        <f t="shared" si="10"/>
        <v>Sep</v>
      </c>
      <c r="I647" s="5">
        <v>4400</v>
      </c>
      <c r="J647" s="5">
        <v>3800</v>
      </c>
      <c r="K647" s="5">
        <f>student_data[[#This Row],[Total Fee]]-student_data[[#This Row],[Deposit Fee]]</f>
        <v>600</v>
      </c>
      <c r="L647" s="5" t="str">
        <f>IF(student_data[[#This Row],[Outstanding Fee]]=0,"Paid",IF(student_data[[#This Row],[Deposit Fee]]=0,"Unpaid","Partially Paid"))</f>
        <v>Partially Paid</v>
      </c>
      <c r="M647" s="5" t="s">
        <v>75</v>
      </c>
      <c r="N647"/>
      <c r="O647"/>
      <c r="P647"/>
      <c r="Q647"/>
      <c r="R647"/>
      <c r="S647"/>
      <c r="T647"/>
      <c r="U647"/>
      <c r="V647"/>
      <c r="W647"/>
    </row>
    <row r="648" spans="1:23" ht="15.4">
      <c r="A648" s="5">
        <v>851</v>
      </c>
      <c r="B648" s="5">
        <v>18851</v>
      </c>
      <c r="C648" s="5" t="s">
        <v>912</v>
      </c>
      <c r="D648" s="5" t="s">
        <v>1288</v>
      </c>
      <c r="E648" s="5" t="s">
        <v>25</v>
      </c>
      <c r="F648" s="5" t="s">
        <v>1360</v>
      </c>
      <c r="G648" s="8">
        <v>45551</v>
      </c>
      <c r="H648" s="8" t="str">
        <f t="shared" si="10"/>
        <v>Sep</v>
      </c>
      <c r="I648" s="5">
        <v>4400</v>
      </c>
      <c r="J648" s="5">
        <v>4400</v>
      </c>
      <c r="K648" s="5">
        <f>student_data[[#This Row],[Total Fee]]-student_data[[#This Row],[Deposit Fee]]</f>
        <v>0</v>
      </c>
      <c r="L648" s="5" t="str">
        <f>IF(student_data[[#This Row],[Outstanding Fee]]=0,"Paid",IF(student_data[[#This Row],[Deposit Fee]]=0,"Unpaid","Partially Paid"))</f>
        <v>Paid</v>
      </c>
      <c r="M648" s="5" t="s">
        <v>19</v>
      </c>
      <c r="N648"/>
      <c r="O648"/>
      <c r="P648"/>
      <c r="Q648"/>
      <c r="R648"/>
      <c r="S648"/>
      <c r="T648"/>
      <c r="U648"/>
      <c r="V648"/>
      <c r="W648"/>
    </row>
    <row r="649" spans="1:23" ht="15.4">
      <c r="A649" s="5">
        <v>127</v>
      </c>
      <c r="B649" s="5">
        <v>18127</v>
      </c>
      <c r="C649" s="5" t="s">
        <v>210</v>
      </c>
      <c r="D649" s="5" t="s">
        <v>239</v>
      </c>
      <c r="E649" s="5" t="s">
        <v>9</v>
      </c>
      <c r="F649" s="5" t="s">
        <v>1360</v>
      </c>
      <c r="G649" s="8">
        <v>45552</v>
      </c>
      <c r="H649" s="8" t="str">
        <f t="shared" si="10"/>
        <v>Sep</v>
      </c>
      <c r="I649" s="5">
        <v>4400</v>
      </c>
      <c r="J649" s="5">
        <v>3800</v>
      </c>
      <c r="K649" s="5">
        <f>student_data[[#This Row],[Total Fee]]-student_data[[#This Row],[Deposit Fee]]</f>
        <v>600</v>
      </c>
      <c r="L649" s="5" t="str">
        <f>IF(student_data[[#This Row],[Outstanding Fee]]=0,"Paid",IF(student_data[[#This Row],[Deposit Fee]]=0,"Unpaid","Partially Paid"))</f>
        <v>Partially Paid</v>
      </c>
      <c r="M649" s="5" t="s">
        <v>89</v>
      </c>
      <c r="N649"/>
      <c r="O649"/>
      <c r="P649"/>
      <c r="Q649"/>
      <c r="R649"/>
      <c r="S649"/>
      <c r="T649"/>
      <c r="U649"/>
      <c r="V649"/>
      <c r="W649"/>
    </row>
    <row r="650" spans="1:23" ht="15.4">
      <c r="A650" s="5">
        <v>128</v>
      </c>
      <c r="B650" s="5">
        <v>18128</v>
      </c>
      <c r="C650" s="5" t="s">
        <v>225</v>
      </c>
      <c r="D650" s="5" t="s">
        <v>240</v>
      </c>
      <c r="E650" s="5" t="s">
        <v>9</v>
      </c>
      <c r="F650" s="5" t="s">
        <v>1360</v>
      </c>
      <c r="G650" s="8">
        <v>45552</v>
      </c>
      <c r="H650" s="8" t="str">
        <f t="shared" si="10"/>
        <v>Sep</v>
      </c>
      <c r="I650" s="5">
        <v>4400</v>
      </c>
      <c r="J650" s="5">
        <v>3800</v>
      </c>
      <c r="K650" s="5">
        <f>student_data[[#This Row],[Total Fee]]-student_data[[#This Row],[Deposit Fee]]</f>
        <v>600</v>
      </c>
      <c r="L650" s="5" t="str">
        <f>IF(student_data[[#This Row],[Outstanding Fee]]=0,"Paid",IF(student_data[[#This Row],[Deposit Fee]]=0,"Unpaid","Partially Paid"))</f>
        <v>Partially Paid</v>
      </c>
      <c r="M650" s="5" t="s">
        <v>29</v>
      </c>
      <c r="N650"/>
      <c r="O650"/>
      <c r="P650"/>
      <c r="Q650"/>
      <c r="R650"/>
      <c r="S650"/>
      <c r="T650"/>
      <c r="U650"/>
      <c r="V650"/>
      <c r="W650"/>
    </row>
    <row r="651" spans="1:23" ht="15.4">
      <c r="A651" s="5">
        <v>129</v>
      </c>
      <c r="B651" s="5">
        <v>18129</v>
      </c>
      <c r="C651" s="5" t="s">
        <v>197</v>
      </c>
      <c r="D651" s="5" t="s">
        <v>241</v>
      </c>
      <c r="E651" s="5" t="s">
        <v>25</v>
      </c>
      <c r="F651" s="5" t="s">
        <v>1360</v>
      </c>
      <c r="G651" s="8">
        <v>45552</v>
      </c>
      <c r="H651" s="8" t="str">
        <f t="shared" si="10"/>
        <v>Sep</v>
      </c>
      <c r="I651" s="5">
        <v>4400</v>
      </c>
      <c r="J651" s="5">
        <v>4400</v>
      </c>
      <c r="K651" s="5">
        <f>student_data[[#This Row],[Total Fee]]-student_data[[#This Row],[Deposit Fee]]</f>
        <v>0</v>
      </c>
      <c r="L651" s="5" t="str">
        <f>IF(student_data[[#This Row],[Outstanding Fee]]=0,"Paid",IF(student_data[[#This Row],[Deposit Fee]]=0,"Unpaid","Partially Paid"))</f>
        <v>Paid</v>
      </c>
      <c r="M651" s="5" t="s">
        <v>75</v>
      </c>
      <c r="N651"/>
      <c r="O651"/>
      <c r="P651"/>
      <c r="Q651"/>
      <c r="R651"/>
      <c r="S651"/>
      <c r="T651"/>
      <c r="U651"/>
      <c r="V651"/>
      <c r="W651"/>
    </row>
    <row r="652" spans="1:23" ht="15.4">
      <c r="A652" s="5">
        <v>46</v>
      </c>
      <c r="B652" s="5">
        <v>18046</v>
      </c>
      <c r="C652" s="5" t="s">
        <v>67</v>
      </c>
      <c r="D652" s="5" t="s">
        <v>112</v>
      </c>
      <c r="E652" s="5" t="s">
        <v>9</v>
      </c>
      <c r="F652" s="5" t="s">
        <v>1360</v>
      </c>
      <c r="G652" s="8">
        <v>45553</v>
      </c>
      <c r="H652" s="8" t="str">
        <f t="shared" si="10"/>
        <v>Sep</v>
      </c>
      <c r="I652" s="5">
        <v>4400</v>
      </c>
      <c r="J652" s="5">
        <v>4400</v>
      </c>
      <c r="K652" s="5">
        <f>student_data[[#This Row],[Total Fee]]-student_data[[#This Row],[Deposit Fee]]</f>
        <v>0</v>
      </c>
      <c r="L652" s="5" t="str">
        <f>IF(student_data[[#This Row],[Outstanding Fee]]=0,"Paid",IF(student_data[[#This Row],[Deposit Fee]]=0,"Unpaid","Partially Paid"))</f>
        <v>Paid</v>
      </c>
      <c r="M652" s="5" t="s">
        <v>75</v>
      </c>
      <c r="N652"/>
      <c r="O652"/>
      <c r="P652"/>
      <c r="Q652"/>
      <c r="R652"/>
      <c r="S652"/>
      <c r="T652"/>
      <c r="U652"/>
      <c r="V652"/>
      <c r="W652"/>
    </row>
    <row r="653" spans="1:23" ht="15.4">
      <c r="A653" s="5">
        <v>47</v>
      </c>
      <c r="B653" s="5">
        <v>18047</v>
      </c>
      <c r="C653" s="5" t="s">
        <v>56</v>
      </c>
      <c r="D653" s="5" t="s">
        <v>113</v>
      </c>
      <c r="E653" s="5" t="s">
        <v>9</v>
      </c>
      <c r="F653" s="5" t="s">
        <v>1360</v>
      </c>
      <c r="G653" s="8">
        <v>45553</v>
      </c>
      <c r="H653" s="8" t="str">
        <f t="shared" si="10"/>
        <v>Sep</v>
      </c>
      <c r="I653" s="5">
        <v>4400</v>
      </c>
      <c r="J653" s="5">
        <v>4400</v>
      </c>
      <c r="K653" s="5">
        <f>student_data[[#This Row],[Total Fee]]-student_data[[#This Row],[Deposit Fee]]</f>
        <v>0</v>
      </c>
      <c r="L653" s="5" t="str">
        <f>IF(student_data[[#This Row],[Outstanding Fee]]=0,"Paid",IF(student_data[[#This Row],[Deposit Fee]]=0,"Unpaid","Partially Paid"))</f>
        <v>Paid</v>
      </c>
      <c r="M653" s="5" t="s">
        <v>89</v>
      </c>
      <c r="N653"/>
      <c r="O653"/>
      <c r="P653"/>
      <c r="Q653"/>
      <c r="R653"/>
      <c r="S653"/>
      <c r="T653"/>
      <c r="U653"/>
      <c r="V653"/>
      <c r="W653"/>
    </row>
    <row r="654" spans="1:23" ht="15.4">
      <c r="A654" s="5">
        <v>130</v>
      </c>
      <c r="B654" s="5">
        <v>18130</v>
      </c>
      <c r="C654" s="5" t="s">
        <v>223</v>
      </c>
      <c r="D654" s="5" t="s">
        <v>242</v>
      </c>
      <c r="E654" s="5" t="s">
        <v>9</v>
      </c>
      <c r="F654" s="5" t="s">
        <v>1360</v>
      </c>
      <c r="G654" s="8">
        <v>45553</v>
      </c>
      <c r="H654" s="8" t="str">
        <f t="shared" si="10"/>
        <v>Sep</v>
      </c>
      <c r="I654" s="5">
        <v>4400</v>
      </c>
      <c r="J654" s="5">
        <v>4400</v>
      </c>
      <c r="K654" s="5">
        <f>student_data[[#This Row],[Total Fee]]-student_data[[#This Row],[Deposit Fee]]</f>
        <v>0</v>
      </c>
      <c r="L654" s="5" t="str">
        <f>IF(student_data[[#This Row],[Outstanding Fee]]=0,"Paid",IF(student_data[[#This Row],[Deposit Fee]]=0,"Unpaid","Partially Paid"))</f>
        <v>Paid</v>
      </c>
      <c r="M654" s="5" t="s">
        <v>75</v>
      </c>
      <c r="N654"/>
      <c r="O654"/>
      <c r="P654"/>
      <c r="Q654"/>
      <c r="R654"/>
      <c r="S654"/>
      <c r="T654"/>
      <c r="U654"/>
      <c r="V654"/>
      <c r="W654"/>
    </row>
    <row r="655" spans="1:23" ht="15.4">
      <c r="A655" s="5">
        <v>131</v>
      </c>
      <c r="B655" s="5">
        <v>18131</v>
      </c>
      <c r="C655" s="5" t="s">
        <v>206</v>
      </c>
      <c r="D655" s="5" t="s">
        <v>243</v>
      </c>
      <c r="E655" s="5" t="s">
        <v>25</v>
      </c>
      <c r="F655" s="5" t="s">
        <v>1360</v>
      </c>
      <c r="G655" s="8">
        <v>45554</v>
      </c>
      <c r="H655" s="8" t="str">
        <f t="shared" si="10"/>
        <v>Sep</v>
      </c>
      <c r="I655" s="5">
        <v>4400</v>
      </c>
      <c r="J655" s="5">
        <v>4000</v>
      </c>
      <c r="K655" s="5">
        <f>student_data[[#This Row],[Total Fee]]-student_data[[#This Row],[Deposit Fee]]</f>
        <v>400</v>
      </c>
      <c r="L655" s="5" t="str">
        <f>IF(student_data[[#This Row],[Outstanding Fee]]=0,"Paid",IF(student_data[[#This Row],[Deposit Fee]]=0,"Unpaid","Partially Paid"))</f>
        <v>Partially Paid</v>
      </c>
      <c r="M655" s="5" t="s">
        <v>19</v>
      </c>
      <c r="N655"/>
      <c r="O655"/>
      <c r="P655"/>
      <c r="Q655"/>
      <c r="R655"/>
      <c r="S655"/>
      <c r="T655"/>
      <c r="U655"/>
      <c r="V655"/>
      <c r="W655"/>
    </row>
    <row r="656" spans="1:23" ht="15.4">
      <c r="A656" s="5">
        <v>132</v>
      </c>
      <c r="B656" s="5">
        <v>18132</v>
      </c>
      <c r="C656" s="5" t="s">
        <v>229</v>
      </c>
      <c r="D656" s="5" t="s">
        <v>244</v>
      </c>
      <c r="E656" s="5" t="s">
        <v>25</v>
      </c>
      <c r="F656" s="5" t="s">
        <v>1360</v>
      </c>
      <c r="G656" s="8">
        <v>45554</v>
      </c>
      <c r="H656" s="8" t="str">
        <f t="shared" si="10"/>
        <v>Sep</v>
      </c>
      <c r="I656" s="5">
        <v>4400</v>
      </c>
      <c r="J656" s="5">
        <v>4000</v>
      </c>
      <c r="K656" s="5">
        <f>student_data[[#This Row],[Total Fee]]-student_data[[#This Row],[Deposit Fee]]</f>
        <v>400</v>
      </c>
      <c r="L656" s="5" t="str">
        <f>IF(student_data[[#This Row],[Outstanding Fee]]=0,"Paid",IF(student_data[[#This Row],[Deposit Fee]]=0,"Unpaid","Partially Paid"))</f>
        <v>Partially Paid</v>
      </c>
      <c r="M656" s="5" t="s">
        <v>47</v>
      </c>
      <c r="N656"/>
      <c r="O656"/>
      <c r="P656"/>
      <c r="Q656"/>
      <c r="R656"/>
      <c r="S656"/>
      <c r="T656"/>
      <c r="U656"/>
      <c r="V656"/>
      <c r="W656"/>
    </row>
    <row r="657" spans="1:23" ht="15.4">
      <c r="A657" s="5">
        <v>649</v>
      </c>
      <c r="B657" s="5">
        <v>18649</v>
      </c>
      <c r="C657" s="5" t="s">
        <v>704</v>
      </c>
      <c r="D657" s="5" t="s">
        <v>1024</v>
      </c>
      <c r="E657" s="5" t="s">
        <v>25</v>
      </c>
      <c r="F657" s="5" t="s">
        <v>1360</v>
      </c>
      <c r="G657" s="8">
        <v>45554</v>
      </c>
      <c r="H657" s="8" t="str">
        <f t="shared" si="10"/>
        <v>Sep</v>
      </c>
      <c r="I657" s="5">
        <v>4400</v>
      </c>
      <c r="J657" s="5">
        <v>3800</v>
      </c>
      <c r="K657" s="5">
        <f>student_data[[#This Row],[Total Fee]]-student_data[[#This Row],[Deposit Fee]]</f>
        <v>600</v>
      </c>
      <c r="L657" s="5" t="str">
        <f>IF(student_data[[#This Row],[Outstanding Fee]]=0,"Paid",IF(student_data[[#This Row],[Deposit Fee]]=0,"Unpaid","Partially Paid"))</f>
        <v>Partially Paid</v>
      </c>
      <c r="M657" s="5" t="s">
        <v>89</v>
      </c>
      <c r="N657"/>
      <c r="O657"/>
      <c r="P657"/>
      <c r="Q657"/>
      <c r="R657"/>
      <c r="S657"/>
      <c r="T657"/>
      <c r="U657"/>
      <c r="V657"/>
      <c r="W657"/>
    </row>
    <row r="658" spans="1:23" ht="15.4">
      <c r="A658" s="5">
        <v>133</v>
      </c>
      <c r="B658" s="5">
        <v>18133</v>
      </c>
      <c r="C658" s="5" t="s">
        <v>204</v>
      </c>
      <c r="D658" s="5" t="s">
        <v>245</v>
      </c>
      <c r="E658" s="5" t="s">
        <v>9</v>
      </c>
      <c r="F658" s="5" t="s">
        <v>1360</v>
      </c>
      <c r="G658" s="8">
        <v>45555</v>
      </c>
      <c r="H658" s="8" t="str">
        <f t="shared" si="10"/>
        <v>Sep</v>
      </c>
      <c r="I658" s="5">
        <v>4400</v>
      </c>
      <c r="J658" s="5">
        <v>4400</v>
      </c>
      <c r="K658" s="5">
        <f>student_data[[#This Row],[Total Fee]]-student_data[[#This Row],[Deposit Fee]]</f>
        <v>0</v>
      </c>
      <c r="L658" s="5" t="str">
        <f>IF(student_data[[#This Row],[Outstanding Fee]]=0,"Paid",IF(student_data[[#This Row],[Deposit Fee]]=0,"Unpaid","Partially Paid"))</f>
        <v>Paid</v>
      </c>
      <c r="M658" s="5" t="s">
        <v>19</v>
      </c>
      <c r="N658"/>
      <c r="O658"/>
      <c r="P658"/>
      <c r="Q658"/>
      <c r="R658"/>
      <c r="S658"/>
      <c r="T658"/>
      <c r="U658"/>
      <c r="V658"/>
      <c r="W658"/>
    </row>
    <row r="659" spans="1:23" ht="15.4">
      <c r="A659" s="5">
        <v>650</v>
      </c>
      <c r="B659" s="5">
        <v>18650</v>
      </c>
      <c r="C659" s="5" t="s">
        <v>900</v>
      </c>
      <c r="D659" s="5" t="s">
        <v>266</v>
      </c>
      <c r="E659" s="5" t="s">
        <v>9</v>
      </c>
      <c r="F659" s="5" t="s">
        <v>1360</v>
      </c>
      <c r="G659" s="8">
        <v>45555</v>
      </c>
      <c r="H659" s="8" t="str">
        <f t="shared" si="10"/>
        <v>Sep</v>
      </c>
      <c r="I659" s="5">
        <v>4400</v>
      </c>
      <c r="J659" s="5">
        <v>3800</v>
      </c>
      <c r="K659" s="5">
        <f>student_data[[#This Row],[Total Fee]]-student_data[[#This Row],[Deposit Fee]]</f>
        <v>600</v>
      </c>
      <c r="L659" s="5" t="str">
        <f>IF(student_data[[#This Row],[Outstanding Fee]]=0,"Paid",IF(student_data[[#This Row],[Deposit Fee]]=0,"Unpaid","Partially Paid"))</f>
        <v>Partially Paid</v>
      </c>
      <c r="M659" s="5" t="s">
        <v>29</v>
      </c>
      <c r="N659"/>
      <c r="O659"/>
      <c r="P659"/>
      <c r="Q659"/>
      <c r="R659"/>
      <c r="S659"/>
      <c r="T659"/>
      <c r="U659"/>
      <c r="V659"/>
      <c r="W659"/>
    </row>
    <row r="660" spans="1:23" ht="15.4">
      <c r="A660" s="5">
        <v>920</v>
      </c>
      <c r="B660" s="5">
        <v>18920</v>
      </c>
      <c r="C660" s="5" t="s">
        <v>130</v>
      </c>
      <c r="D660" s="5" t="s">
        <v>40</v>
      </c>
      <c r="E660" s="5" t="s">
        <v>9</v>
      </c>
      <c r="F660" s="5" t="s">
        <v>1360</v>
      </c>
      <c r="G660" s="8">
        <v>45555</v>
      </c>
      <c r="H660" s="8" t="str">
        <f t="shared" si="10"/>
        <v>Sep</v>
      </c>
      <c r="I660" s="5">
        <v>4400</v>
      </c>
      <c r="J660" s="5">
        <v>4400</v>
      </c>
      <c r="K660" s="5">
        <f>student_data[[#This Row],[Total Fee]]-student_data[[#This Row],[Deposit Fee]]</f>
        <v>0</v>
      </c>
      <c r="L660" s="5" t="str">
        <f>IF(student_data[[#This Row],[Outstanding Fee]]=0,"Paid",IF(student_data[[#This Row],[Deposit Fee]]=0,"Unpaid","Partially Paid"))</f>
        <v>Paid</v>
      </c>
      <c r="M660" s="5" t="s">
        <v>50</v>
      </c>
      <c r="N660"/>
      <c r="O660"/>
      <c r="P660"/>
      <c r="Q660"/>
      <c r="R660"/>
      <c r="S660"/>
      <c r="T660"/>
      <c r="U660"/>
      <c r="V660"/>
      <c r="W660"/>
    </row>
    <row r="661" spans="1:23" ht="15.4">
      <c r="A661" s="5">
        <v>48</v>
      </c>
      <c r="B661" s="5">
        <v>18048</v>
      </c>
      <c r="C661" s="5" t="s">
        <v>73</v>
      </c>
      <c r="D661" s="5" t="s">
        <v>101</v>
      </c>
      <c r="E661" s="5" t="s">
        <v>25</v>
      </c>
      <c r="F661" s="5" t="s">
        <v>1360</v>
      </c>
      <c r="G661" s="8">
        <v>45556</v>
      </c>
      <c r="H661" s="8" t="str">
        <f t="shared" si="10"/>
        <v>Sep</v>
      </c>
      <c r="I661" s="5">
        <v>4400</v>
      </c>
      <c r="J661" s="5">
        <v>3800</v>
      </c>
      <c r="K661" s="5">
        <f>student_data[[#This Row],[Total Fee]]-student_data[[#This Row],[Deposit Fee]]</f>
        <v>600</v>
      </c>
      <c r="L661" s="5" t="str">
        <f>IF(student_data[[#This Row],[Outstanding Fee]]=0,"Paid",IF(student_data[[#This Row],[Deposit Fee]]=0,"Unpaid","Partially Paid"))</f>
        <v>Partially Paid</v>
      </c>
      <c r="M661" s="5" t="s">
        <v>29</v>
      </c>
      <c r="N661"/>
      <c r="O661"/>
      <c r="P661"/>
      <c r="Q661"/>
      <c r="R661"/>
      <c r="S661"/>
      <c r="T661"/>
      <c r="U661"/>
      <c r="V661"/>
      <c r="W661"/>
    </row>
    <row r="662" spans="1:23" ht="15.4">
      <c r="A662" s="5">
        <v>134</v>
      </c>
      <c r="B662" s="5">
        <v>18134</v>
      </c>
      <c r="C662" s="5" t="s">
        <v>195</v>
      </c>
      <c r="D662" s="5" t="s">
        <v>246</v>
      </c>
      <c r="E662" s="5" t="s">
        <v>9</v>
      </c>
      <c r="F662" s="5" t="s">
        <v>1360</v>
      </c>
      <c r="G662" s="8">
        <v>45556</v>
      </c>
      <c r="H662" s="8" t="str">
        <f t="shared" si="10"/>
        <v>Sep</v>
      </c>
      <c r="I662" s="5">
        <v>4400</v>
      </c>
      <c r="J662" s="5">
        <v>4400</v>
      </c>
      <c r="K662" s="5">
        <f>student_data[[#This Row],[Total Fee]]-student_data[[#This Row],[Deposit Fee]]</f>
        <v>0</v>
      </c>
      <c r="L662" s="5" t="str">
        <f>IF(student_data[[#This Row],[Outstanding Fee]]=0,"Paid",IF(student_data[[#This Row],[Deposit Fee]]=0,"Unpaid","Partially Paid"))</f>
        <v>Paid</v>
      </c>
      <c r="M662" s="5" t="s">
        <v>47</v>
      </c>
      <c r="N662"/>
      <c r="O662"/>
      <c r="P662"/>
      <c r="Q662"/>
      <c r="R662"/>
      <c r="S662"/>
      <c r="T662"/>
      <c r="U662"/>
      <c r="V662"/>
      <c r="W662"/>
    </row>
    <row r="663" spans="1:23" ht="15.4">
      <c r="A663" s="5">
        <v>906</v>
      </c>
      <c r="B663" s="5">
        <v>18906</v>
      </c>
      <c r="C663" s="5" t="s">
        <v>942</v>
      </c>
      <c r="D663" s="5" t="s">
        <v>1346</v>
      </c>
      <c r="E663" s="5" t="s">
        <v>9</v>
      </c>
      <c r="F663" s="5" t="s">
        <v>1360</v>
      </c>
      <c r="G663" s="8">
        <v>45556</v>
      </c>
      <c r="H663" s="8" t="str">
        <f t="shared" si="10"/>
        <v>Sep</v>
      </c>
      <c r="I663" s="5">
        <v>4400</v>
      </c>
      <c r="J663" s="5">
        <v>3800</v>
      </c>
      <c r="K663" s="5">
        <f>student_data[[#This Row],[Total Fee]]-student_data[[#This Row],[Deposit Fee]]</f>
        <v>600</v>
      </c>
      <c r="L663" s="5" t="str">
        <f>IF(student_data[[#This Row],[Outstanding Fee]]=0,"Paid",IF(student_data[[#This Row],[Deposit Fee]]=0,"Unpaid","Partially Paid"))</f>
        <v>Partially Paid</v>
      </c>
      <c r="M663" s="5" t="s">
        <v>16</v>
      </c>
      <c r="N663"/>
      <c r="O663"/>
      <c r="P663"/>
      <c r="Q663"/>
      <c r="R663"/>
      <c r="S663"/>
      <c r="T663"/>
      <c r="U663"/>
      <c r="V663"/>
      <c r="W663"/>
    </row>
    <row r="664" spans="1:23" ht="15.4">
      <c r="A664" s="5">
        <v>135</v>
      </c>
      <c r="B664" s="5">
        <v>18135</v>
      </c>
      <c r="C664" s="5" t="s">
        <v>222</v>
      </c>
      <c r="D664" s="5" t="s">
        <v>247</v>
      </c>
      <c r="E664" s="5" t="s">
        <v>25</v>
      </c>
      <c r="F664" s="5" t="s">
        <v>1360</v>
      </c>
      <c r="G664" s="8">
        <v>45558</v>
      </c>
      <c r="H664" s="8" t="str">
        <f t="shared" si="10"/>
        <v>Sep</v>
      </c>
      <c r="I664" s="5">
        <v>4400</v>
      </c>
      <c r="J664" s="5">
        <v>4400</v>
      </c>
      <c r="K664" s="5">
        <f>student_data[[#This Row],[Total Fee]]-student_data[[#This Row],[Deposit Fee]]</f>
        <v>0</v>
      </c>
      <c r="L664" s="5" t="str">
        <f>IF(student_data[[#This Row],[Outstanding Fee]]=0,"Paid",IF(student_data[[#This Row],[Deposit Fee]]=0,"Unpaid","Partially Paid"))</f>
        <v>Paid</v>
      </c>
      <c r="M664" s="5" t="s">
        <v>75</v>
      </c>
      <c r="N664"/>
      <c r="O664"/>
      <c r="P664"/>
      <c r="Q664"/>
      <c r="R664"/>
      <c r="S664"/>
      <c r="T664"/>
      <c r="U664"/>
      <c r="V664"/>
      <c r="W664"/>
    </row>
    <row r="665" spans="1:23" ht="15.4">
      <c r="A665" s="5">
        <v>136</v>
      </c>
      <c r="B665" s="5">
        <v>18136</v>
      </c>
      <c r="C665" s="5" t="s">
        <v>213</v>
      </c>
      <c r="D665" s="5" t="s">
        <v>248</v>
      </c>
      <c r="E665" s="5" t="s">
        <v>25</v>
      </c>
      <c r="F665" s="5" t="s">
        <v>1360</v>
      </c>
      <c r="G665" s="8">
        <v>45558</v>
      </c>
      <c r="H665" s="8" t="str">
        <f t="shared" si="10"/>
        <v>Sep</v>
      </c>
      <c r="I665" s="5">
        <v>4400</v>
      </c>
      <c r="J665" s="5">
        <v>4400</v>
      </c>
      <c r="K665" s="5">
        <f>student_data[[#This Row],[Total Fee]]-student_data[[#This Row],[Deposit Fee]]</f>
        <v>0</v>
      </c>
      <c r="L665" s="5" t="str">
        <f>IF(student_data[[#This Row],[Outstanding Fee]]=0,"Paid",IF(student_data[[#This Row],[Deposit Fee]]=0,"Unpaid","Partially Paid"))</f>
        <v>Paid</v>
      </c>
      <c r="M665" s="5" t="s">
        <v>89</v>
      </c>
      <c r="N665"/>
      <c r="O665"/>
      <c r="P665"/>
      <c r="Q665"/>
      <c r="R665"/>
      <c r="S665"/>
      <c r="T665"/>
      <c r="U665"/>
      <c r="V665"/>
      <c r="W665"/>
    </row>
    <row r="666" spans="1:23" ht="15.4">
      <c r="A666" s="5">
        <v>921</v>
      </c>
      <c r="B666" s="5">
        <v>18921</v>
      </c>
      <c r="C666" s="5" t="s">
        <v>64</v>
      </c>
      <c r="D666" s="5" t="s">
        <v>1063</v>
      </c>
      <c r="E666" s="5" t="s">
        <v>9</v>
      </c>
      <c r="F666" s="5" t="s">
        <v>1360</v>
      </c>
      <c r="G666" s="8">
        <v>45558</v>
      </c>
      <c r="H666" s="8" t="str">
        <f t="shared" si="10"/>
        <v>Sep</v>
      </c>
      <c r="I666" s="5">
        <v>4400</v>
      </c>
      <c r="J666" s="5">
        <v>4400</v>
      </c>
      <c r="K666" s="5">
        <f>student_data[[#This Row],[Total Fee]]-student_data[[#This Row],[Deposit Fee]]</f>
        <v>0</v>
      </c>
      <c r="L666" s="5" t="str">
        <f>IF(student_data[[#This Row],[Outstanding Fee]]=0,"Paid",IF(student_data[[#This Row],[Deposit Fee]]=0,"Unpaid","Partially Paid"))</f>
        <v>Paid</v>
      </c>
      <c r="M666" s="5" t="s">
        <v>53</v>
      </c>
      <c r="N666"/>
      <c r="O666"/>
      <c r="P666"/>
      <c r="Q666"/>
      <c r="R666"/>
      <c r="S666"/>
      <c r="T666"/>
      <c r="U666"/>
      <c r="V666"/>
      <c r="W666"/>
    </row>
    <row r="667" spans="1:23" ht="15.4">
      <c r="A667" s="5">
        <v>49</v>
      </c>
      <c r="B667" s="5">
        <v>18049</v>
      </c>
      <c r="C667" s="5" t="s">
        <v>71</v>
      </c>
      <c r="D667" s="5" t="s">
        <v>114</v>
      </c>
      <c r="E667" s="5" t="s">
        <v>9</v>
      </c>
      <c r="F667" s="5" t="s">
        <v>1360</v>
      </c>
      <c r="G667" s="8">
        <v>45559</v>
      </c>
      <c r="H667" s="8" t="str">
        <f t="shared" si="10"/>
        <v>Sep</v>
      </c>
      <c r="I667" s="5">
        <v>4400</v>
      </c>
      <c r="J667" s="5">
        <v>4000</v>
      </c>
      <c r="K667" s="5">
        <f>student_data[[#This Row],[Total Fee]]-student_data[[#This Row],[Deposit Fee]]</f>
        <v>400</v>
      </c>
      <c r="L667" s="5" t="str">
        <f>IF(student_data[[#This Row],[Outstanding Fee]]=0,"Paid",IF(student_data[[#This Row],[Deposit Fee]]=0,"Unpaid","Partially Paid"))</f>
        <v>Partially Paid</v>
      </c>
      <c r="M667" s="5" t="s">
        <v>10</v>
      </c>
      <c r="N667"/>
      <c r="O667"/>
      <c r="P667"/>
      <c r="Q667"/>
      <c r="R667"/>
      <c r="S667"/>
      <c r="T667"/>
      <c r="U667"/>
      <c r="V667"/>
      <c r="W667"/>
    </row>
    <row r="668" spans="1:23" ht="15.4">
      <c r="A668" s="5">
        <v>852</v>
      </c>
      <c r="B668" s="5">
        <v>18852</v>
      </c>
      <c r="C668" s="5" t="s">
        <v>914</v>
      </c>
      <c r="D668" s="5" t="s">
        <v>1289</v>
      </c>
      <c r="E668" s="5" t="s">
        <v>9</v>
      </c>
      <c r="F668" s="5" t="s">
        <v>1360</v>
      </c>
      <c r="G668" s="8">
        <v>45559</v>
      </c>
      <c r="H668" s="8" t="str">
        <f t="shared" si="10"/>
        <v>Sep</v>
      </c>
      <c r="I668" s="5">
        <v>4400</v>
      </c>
      <c r="J668" s="5">
        <v>4000</v>
      </c>
      <c r="K668" s="5">
        <f>student_data[[#This Row],[Total Fee]]-student_data[[#This Row],[Deposit Fee]]</f>
        <v>400</v>
      </c>
      <c r="L668" s="5" t="str">
        <f>IF(student_data[[#This Row],[Outstanding Fee]]=0,"Paid",IF(student_data[[#This Row],[Deposit Fee]]=0,"Unpaid","Partially Paid"))</f>
        <v>Partially Paid</v>
      </c>
      <c r="M668" s="5" t="s">
        <v>47</v>
      </c>
      <c r="N668"/>
      <c r="O668"/>
      <c r="P668"/>
      <c r="Q668"/>
      <c r="R668"/>
      <c r="S668"/>
      <c r="T668"/>
      <c r="U668"/>
      <c r="V668"/>
      <c r="W668"/>
    </row>
    <row r="669" spans="1:23" ht="15.4">
      <c r="A669" s="5">
        <v>922</v>
      </c>
      <c r="B669" s="5">
        <v>18922</v>
      </c>
      <c r="C669" s="5" t="s">
        <v>945</v>
      </c>
      <c r="D669" s="5" t="s">
        <v>1355</v>
      </c>
      <c r="E669" s="5" t="s">
        <v>9</v>
      </c>
      <c r="F669" s="5" t="s">
        <v>1360</v>
      </c>
      <c r="G669" s="8">
        <v>45559</v>
      </c>
      <c r="H669" s="8" t="str">
        <f t="shared" si="10"/>
        <v>Sep</v>
      </c>
      <c r="I669" s="5">
        <v>4400</v>
      </c>
      <c r="J669" s="5">
        <v>3800</v>
      </c>
      <c r="K669" s="5">
        <f>student_data[[#This Row],[Total Fee]]-student_data[[#This Row],[Deposit Fee]]</f>
        <v>600</v>
      </c>
      <c r="L669" s="5" t="str">
        <f>IF(student_data[[#This Row],[Outstanding Fee]]=0,"Paid",IF(student_data[[#This Row],[Deposit Fee]]=0,"Unpaid","Partially Paid"))</f>
        <v>Partially Paid</v>
      </c>
      <c r="M669" s="5" t="s">
        <v>53</v>
      </c>
      <c r="N669"/>
      <c r="O669"/>
      <c r="P669"/>
      <c r="Q669"/>
      <c r="R669"/>
      <c r="S669"/>
      <c r="T669"/>
      <c r="U669"/>
      <c r="V669"/>
      <c r="W669"/>
    </row>
    <row r="670" spans="1:23" ht="15.4">
      <c r="A670" s="5">
        <v>50</v>
      </c>
      <c r="B670" s="5">
        <v>18050</v>
      </c>
      <c r="C670" s="5" t="s">
        <v>64</v>
      </c>
      <c r="D670" s="5" t="s">
        <v>115</v>
      </c>
      <c r="E670" s="5" t="s">
        <v>25</v>
      </c>
      <c r="F670" s="5" t="s">
        <v>1360</v>
      </c>
      <c r="G670" s="8">
        <v>45560</v>
      </c>
      <c r="H670" s="8" t="str">
        <f t="shared" si="10"/>
        <v>Sep</v>
      </c>
      <c r="I670" s="5">
        <v>4400</v>
      </c>
      <c r="J670" s="5">
        <v>4400</v>
      </c>
      <c r="K670" s="5">
        <f>student_data[[#This Row],[Total Fee]]-student_data[[#This Row],[Deposit Fee]]</f>
        <v>0</v>
      </c>
      <c r="L670" s="5" t="str">
        <f>IF(student_data[[#This Row],[Outstanding Fee]]=0,"Paid",IF(student_data[[#This Row],[Deposit Fee]]=0,"Unpaid","Partially Paid"))</f>
        <v>Paid</v>
      </c>
      <c r="M670" s="5" t="s">
        <v>13</v>
      </c>
      <c r="N670"/>
      <c r="O670"/>
      <c r="P670"/>
      <c r="Q670"/>
      <c r="R670"/>
      <c r="S670"/>
      <c r="T670"/>
      <c r="U670"/>
      <c r="V670"/>
      <c r="W670"/>
    </row>
    <row r="671" spans="1:23" ht="15.4">
      <c r="A671" s="5">
        <v>137</v>
      </c>
      <c r="B671" s="5">
        <v>18137</v>
      </c>
      <c r="C671" s="5" t="s">
        <v>201</v>
      </c>
      <c r="D671" s="5" t="s">
        <v>241</v>
      </c>
      <c r="E671" s="5" t="s">
        <v>25</v>
      </c>
      <c r="F671" s="5" t="s">
        <v>1360</v>
      </c>
      <c r="G671" s="8">
        <v>45560</v>
      </c>
      <c r="H671" s="8" t="str">
        <f t="shared" si="10"/>
        <v>Sep</v>
      </c>
      <c r="I671" s="5">
        <v>4400</v>
      </c>
      <c r="J671" s="5">
        <v>2000</v>
      </c>
      <c r="K671" s="5">
        <f>student_data[[#This Row],[Total Fee]]-student_data[[#This Row],[Deposit Fee]]</f>
        <v>2400</v>
      </c>
      <c r="L671" s="5" t="str">
        <f>IF(student_data[[#This Row],[Outstanding Fee]]=0,"Paid",IF(student_data[[#This Row],[Deposit Fee]]=0,"Unpaid","Partially Paid"))</f>
        <v>Partially Paid</v>
      </c>
      <c r="M671" s="5" t="s">
        <v>29</v>
      </c>
      <c r="N671"/>
      <c r="O671"/>
      <c r="P671"/>
      <c r="Q671"/>
      <c r="R671"/>
      <c r="S671"/>
      <c r="T671"/>
      <c r="U671"/>
      <c r="V671"/>
      <c r="W671"/>
    </row>
    <row r="672" spans="1:23" ht="15.4">
      <c r="A672" s="5">
        <v>853</v>
      </c>
      <c r="B672" s="5">
        <v>18853</v>
      </c>
      <c r="C672" s="5" t="s">
        <v>918</v>
      </c>
      <c r="D672" s="5" t="s">
        <v>1290</v>
      </c>
      <c r="E672" s="5" t="s">
        <v>9</v>
      </c>
      <c r="F672" s="5" t="s">
        <v>1360</v>
      </c>
      <c r="G672" s="8">
        <v>45560</v>
      </c>
      <c r="H672" s="8" t="str">
        <f t="shared" si="10"/>
        <v>Sep</v>
      </c>
      <c r="I672" s="5">
        <v>4400</v>
      </c>
      <c r="J672" s="5">
        <v>3800</v>
      </c>
      <c r="K672" s="5">
        <f>student_data[[#This Row],[Total Fee]]-student_data[[#This Row],[Deposit Fee]]</f>
        <v>600</v>
      </c>
      <c r="L672" s="5" t="str">
        <f>IF(student_data[[#This Row],[Outstanding Fee]]=0,"Paid",IF(student_data[[#This Row],[Deposit Fee]]=0,"Unpaid","Partially Paid"))</f>
        <v>Partially Paid</v>
      </c>
      <c r="M672" s="5" t="s">
        <v>75</v>
      </c>
      <c r="N672"/>
      <c r="O672"/>
      <c r="P672"/>
      <c r="Q672"/>
      <c r="R672"/>
      <c r="S672"/>
      <c r="T672"/>
      <c r="U672"/>
      <c r="V672"/>
      <c r="W672"/>
    </row>
    <row r="673" spans="1:23" ht="15.4">
      <c r="A673" s="5">
        <v>51</v>
      </c>
      <c r="B673" s="5">
        <v>18051</v>
      </c>
      <c r="C673" s="5" t="s">
        <v>79</v>
      </c>
      <c r="D673" s="5" t="s">
        <v>116</v>
      </c>
      <c r="E673" s="5" t="s">
        <v>9</v>
      </c>
      <c r="F673" s="5" t="s">
        <v>1360</v>
      </c>
      <c r="G673" s="8">
        <v>45561</v>
      </c>
      <c r="H673" s="8" t="str">
        <f t="shared" si="10"/>
        <v>Sep</v>
      </c>
      <c r="I673" s="5">
        <v>4400</v>
      </c>
      <c r="J673" s="5">
        <v>3800</v>
      </c>
      <c r="K673" s="5">
        <f>student_data[[#This Row],[Total Fee]]-student_data[[#This Row],[Deposit Fee]]</f>
        <v>600</v>
      </c>
      <c r="L673" s="5" t="str">
        <f>IF(student_data[[#This Row],[Outstanding Fee]]=0,"Paid",IF(student_data[[#This Row],[Deposit Fee]]=0,"Unpaid","Partially Paid"))</f>
        <v>Partially Paid</v>
      </c>
      <c r="M673" s="5" t="s">
        <v>38</v>
      </c>
      <c r="N673"/>
      <c r="O673"/>
      <c r="P673"/>
      <c r="Q673"/>
      <c r="R673"/>
      <c r="S673"/>
      <c r="T673"/>
      <c r="U673"/>
      <c r="V673"/>
      <c r="W673"/>
    </row>
    <row r="674" spans="1:23" ht="15.4">
      <c r="A674" s="5">
        <v>52</v>
      </c>
      <c r="B674" s="5">
        <v>18052</v>
      </c>
      <c r="C674" s="5" t="s">
        <v>76</v>
      </c>
      <c r="D674" s="5" t="s">
        <v>117</v>
      </c>
      <c r="E674" s="5" t="s">
        <v>9</v>
      </c>
      <c r="F674" s="5" t="s">
        <v>1360</v>
      </c>
      <c r="G674" s="8">
        <v>45561</v>
      </c>
      <c r="H674" s="8" t="str">
        <f t="shared" si="10"/>
        <v>Sep</v>
      </c>
      <c r="I674" s="5">
        <v>4400</v>
      </c>
      <c r="J674" s="5">
        <v>3800</v>
      </c>
      <c r="K674" s="5">
        <f>student_data[[#This Row],[Total Fee]]-student_data[[#This Row],[Deposit Fee]]</f>
        <v>600</v>
      </c>
      <c r="L674" s="5" t="str">
        <f>IF(student_data[[#This Row],[Outstanding Fee]]=0,"Paid",IF(student_data[[#This Row],[Deposit Fee]]=0,"Unpaid","Partially Paid"))</f>
        <v>Partially Paid</v>
      </c>
      <c r="M674" s="5" t="s">
        <v>78</v>
      </c>
      <c r="N674"/>
      <c r="O674"/>
      <c r="P674"/>
      <c r="Q674"/>
      <c r="R674"/>
      <c r="S674"/>
      <c r="T674"/>
      <c r="U674"/>
      <c r="V674"/>
      <c r="W674"/>
    </row>
    <row r="675" spans="1:23" ht="15.4">
      <c r="A675" s="5">
        <v>854</v>
      </c>
      <c r="B675" s="5">
        <v>18854</v>
      </c>
      <c r="C675" s="5" t="s">
        <v>277</v>
      </c>
      <c r="D675" s="5" t="s">
        <v>693</v>
      </c>
      <c r="E675" s="5" t="s">
        <v>25</v>
      </c>
      <c r="F675" s="5" t="s">
        <v>1360</v>
      </c>
      <c r="G675" s="8">
        <v>45561</v>
      </c>
      <c r="H675" s="8" t="str">
        <f t="shared" si="10"/>
        <v>Sep</v>
      </c>
      <c r="I675" s="5">
        <v>4400</v>
      </c>
      <c r="J675" s="5">
        <v>4400</v>
      </c>
      <c r="K675" s="5">
        <f>student_data[[#This Row],[Total Fee]]-student_data[[#This Row],[Deposit Fee]]</f>
        <v>0</v>
      </c>
      <c r="L675" s="5" t="str">
        <f>IF(student_data[[#This Row],[Outstanding Fee]]=0,"Paid",IF(student_data[[#This Row],[Deposit Fee]]=0,"Unpaid","Partially Paid"))</f>
        <v>Paid</v>
      </c>
      <c r="M675" s="5" t="s">
        <v>89</v>
      </c>
      <c r="N675"/>
      <c r="O675"/>
      <c r="P675"/>
      <c r="Q675"/>
      <c r="R675"/>
      <c r="S675"/>
      <c r="T675"/>
      <c r="U675"/>
      <c r="V675"/>
      <c r="W675"/>
    </row>
    <row r="676" spans="1:23" ht="15.4">
      <c r="A676" s="5">
        <v>138</v>
      </c>
      <c r="B676" s="5">
        <v>18138</v>
      </c>
      <c r="C676" s="5" t="s">
        <v>227</v>
      </c>
      <c r="D676" s="5" t="s">
        <v>249</v>
      </c>
      <c r="E676" s="5" t="s">
        <v>9</v>
      </c>
      <c r="F676" s="5" t="s">
        <v>1360</v>
      </c>
      <c r="G676" s="8">
        <v>45562</v>
      </c>
      <c r="H676" s="8" t="str">
        <f t="shared" si="10"/>
        <v>Sep</v>
      </c>
      <c r="I676" s="5">
        <v>4400</v>
      </c>
      <c r="J676" s="5">
        <v>4400</v>
      </c>
      <c r="K676" s="5">
        <f>student_data[[#This Row],[Total Fee]]-student_data[[#This Row],[Deposit Fee]]</f>
        <v>0</v>
      </c>
      <c r="L676" s="5" t="str">
        <f>IF(student_data[[#This Row],[Outstanding Fee]]=0,"Paid",IF(student_data[[#This Row],[Deposit Fee]]=0,"Unpaid","Partially Paid"))</f>
        <v>Paid</v>
      </c>
      <c r="M676" s="5" t="s">
        <v>10</v>
      </c>
      <c r="N676"/>
      <c r="O676"/>
      <c r="P676"/>
      <c r="Q676"/>
      <c r="R676"/>
      <c r="S676"/>
      <c r="T676"/>
      <c r="U676"/>
      <c r="V676"/>
      <c r="W676"/>
    </row>
    <row r="677" spans="1:23" ht="15.4">
      <c r="A677" s="5">
        <v>651</v>
      </c>
      <c r="B677" s="5">
        <v>18651</v>
      </c>
      <c r="C677" s="5" t="s">
        <v>11</v>
      </c>
      <c r="D677" s="5" t="s">
        <v>253</v>
      </c>
      <c r="E677" s="5" t="s">
        <v>9</v>
      </c>
      <c r="F677" s="5" t="s">
        <v>1360</v>
      </c>
      <c r="G677" s="8">
        <v>45562</v>
      </c>
      <c r="H677" s="8" t="str">
        <f t="shared" si="10"/>
        <v>Sep</v>
      </c>
      <c r="I677" s="5">
        <v>4400</v>
      </c>
      <c r="J677" s="5">
        <v>4400</v>
      </c>
      <c r="K677" s="5">
        <f>student_data[[#This Row],[Total Fee]]-student_data[[#This Row],[Deposit Fee]]</f>
        <v>0</v>
      </c>
      <c r="L677" s="5" t="str">
        <f>IF(student_data[[#This Row],[Outstanding Fee]]=0,"Paid",IF(student_data[[#This Row],[Deposit Fee]]=0,"Unpaid","Partially Paid"))</f>
        <v>Paid</v>
      </c>
      <c r="M677" s="5" t="s">
        <v>75</v>
      </c>
      <c r="N677"/>
      <c r="O677"/>
      <c r="P677"/>
      <c r="Q677"/>
      <c r="R677"/>
      <c r="S677"/>
      <c r="T677"/>
      <c r="U677"/>
      <c r="V677"/>
      <c r="W677"/>
    </row>
    <row r="678" spans="1:23" ht="15.4">
      <c r="A678" s="5">
        <v>652</v>
      </c>
      <c r="B678" s="5">
        <v>18652</v>
      </c>
      <c r="C678" s="5" t="s">
        <v>899</v>
      </c>
      <c r="D678" s="5" t="s">
        <v>196</v>
      </c>
      <c r="E678" s="5" t="s">
        <v>9</v>
      </c>
      <c r="F678" s="5" t="s">
        <v>1360</v>
      </c>
      <c r="G678" s="8">
        <v>45562</v>
      </c>
      <c r="H678" s="8" t="str">
        <f t="shared" si="10"/>
        <v>Sep</v>
      </c>
      <c r="I678" s="5">
        <v>4400</v>
      </c>
      <c r="J678" s="5">
        <v>1800</v>
      </c>
      <c r="K678" s="5">
        <f>student_data[[#This Row],[Total Fee]]-student_data[[#This Row],[Deposit Fee]]</f>
        <v>2600</v>
      </c>
      <c r="L678" s="5" t="str">
        <f>IF(student_data[[#This Row],[Outstanding Fee]]=0,"Paid",IF(student_data[[#This Row],[Deposit Fee]]=0,"Unpaid","Partially Paid"))</f>
        <v>Partially Paid</v>
      </c>
      <c r="M678" s="5" t="s">
        <v>75</v>
      </c>
      <c r="N678"/>
      <c r="O678"/>
      <c r="P678"/>
      <c r="Q678"/>
      <c r="R678"/>
      <c r="S678"/>
      <c r="T678"/>
      <c r="U678"/>
      <c r="V678"/>
      <c r="W678"/>
    </row>
    <row r="679" spans="1:23" ht="15.4">
      <c r="A679" s="5">
        <v>855</v>
      </c>
      <c r="B679" s="5">
        <v>18855</v>
      </c>
      <c r="C679" s="5" t="s">
        <v>916</v>
      </c>
      <c r="D679" s="5" t="s">
        <v>802</v>
      </c>
      <c r="E679" s="5" t="s">
        <v>25</v>
      </c>
      <c r="F679" s="5" t="s">
        <v>1360</v>
      </c>
      <c r="G679" s="8">
        <v>45563</v>
      </c>
      <c r="H679" s="8" t="str">
        <f t="shared" si="10"/>
        <v>Sep</v>
      </c>
      <c r="I679" s="5">
        <v>4400</v>
      </c>
      <c r="J679" s="5">
        <v>4000</v>
      </c>
      <c r="K679" s="5">
        <f>student_data[[#This Row],[Total Fee]]-student_data[[#This Row],[Deposit Fee]]</f>
        <v>400</v>
      </c>
      <c r="L679" s="5" t="str">
        <f>IF(student_data[[#This Row],[Outstanding Fee]]=0,"Paid",IF(student_data[[#This Row],[Deposit Fee]]=0,"Unpaid","Partially Paid"))</f>
        <v>Partially Paid</v>
      </c>
      <c r="M679" s="5" t="s">
        <v>29</v>
      </c>
      <c r="N679"/>
      <c r="O679"/>
      <c r="P679"/>
      <c r="Q679"/>
      <c r="R679"/>
      <c r="S679"/>
      <c r="T679"/>
      <c r="U679"/>
      <c r="V679"/>
      <c r="W679"/>
    </row>
    <row r="680" spans="1:23" ht="15.4">
      <c r="A680" s="5">
        <v>856</v>
      </c>
      <c r="B680" s="5">
        <v>18856</v>
      </c>
      <c r="C680" s="5" t="s">
        <v>920</v>
      </c>
      <c r="D680" s="5" t="s">
        <v>1291</v>
      </c>
      <c r="E680" s="5" t="s">
        <v>25</v>
      </c>
      <c r="F680" s="5" t="s">
        <v>1360</v>
      </c>
      <c r="G680" s="8">
        <v>45563</v>
      </c>
      <c r="H680" s="8" t="str">
        <f t="shared" si="10"/>
        <v>Sep</v>
      </c>
      <c r="I680" s="5">
        <v>4400</v>
      </c>
      <c r="J680" s="5">
        <v>3800</v>
      </c>
      <c r="K680" s="5">
        <f>student_data[[#This Row],[Total Fee]]-student_data[[#This Row],[Deposit Fee]]</f>
        <v>600</v>
      </c>
      <c r="L680" s="5" t="str">
        <f>IF(student_data[[#This Row],[Outstanding Fee]]=0,"Paid",IF(student_data[[#This Row],[Deposit Fee]]=0,"Unpaid","Partially Paid"))</f>
        <v>Partially Paid</v>
      </c>
      <c r="M680" s="5" t="s">
        <v>75</v>
      </c>
      <c r="N680"/>
      <c r="O680"/>
      <c r="P680"/>
      <c r="Q680"/>
      <c r="R680"/>
      <c r="S680"/>
      <c r="T680"/>
      <c r="U680"/>
      <c r="V680"/>
      <c r="W680"/>
    </row>
    <row r="681" spans="1:23" ht="15.4">
      <c r="A681" s="5">
        <v>923</v>
      </c>
      <c r="B681" s="5">
        <v>18923</v>
      </c>
      <c r="C681" s="5" t="s">
        <v>949</v>
      </c>
      <c r="D681" s="5" t="s">
        <v>545</v>
      </c>
      <c r="E681" s="5" t="s">
        <v>25</v>
      </c>
      <c r="F681" s="5" t="s">
        <v>1360</v>
      </c>
      <c r="G681" s="8">
        <v>45563</v>
      </c>
      <c r="H681" s="8" t="str">
        <f t="shared" si="10"/>
        <v>Sep</v>
      </c>
      <c r="I681" s="5">
        <v>4400</v>
      </c>
      <c r="J681" s="5">
        <v>2500</v>
      </c>
      <c r="K681" s="5">
        <f>student_data[[#This Row],[Total Fee]]-student_data[[#This Row],[Deposit Fee]]</f>
        <v>1900</v>
      </c>
      <c r="L681" s="5" t="str">
        <f>IF(student_data[[#This Row],[Outstanding Fee]]=0,"Paid",IF(student_data[[#This Row],[Deposit Fee]]=0,"Unpaid","Partially Paid"))</f>
        <v>Partially Paid</v>
      </c>
      <c r="M681" s="5" t="s">
        <v>50</v>
      </c>
      <c r="N681"/>
      <c r="O681"/>
      <c r="P681"/>
      <c r="Q681"/>
      <c r="R681"/>
      <c r="S681"/>
      <c r="T681"/>
      <c r="U681"/>
      <c r="V681"/>
      <c r="W681"/>
    </row>
    <row r="682" spans="1:23" ht="15.4">
      <c r="A682" s="5">
        <v>857</v>
      </c>
      <c r="B682" s="5">
        <v>18857</v>
      </c>
      <c r="C682" s="5" t="s">
        <v>922</v>
      </c>
      <c r="D682" s="5" t="s">
        <v>1292</v>
      </c>
      <c r="E682" s="5" t="s">
        <v>9</v>
      </c>
      <c r="F682" s="5" t="s">
        <v>1360</v>
      </c>
      <c r="G682" s="8">
        <v>45565</v>
      </c>
      <c r="H682" s="8" t="str">
        <f t="shared" si="10"/>
        <v>Sep</v>
      </c>
      <c r="I682" s="5">
        <v>4400</v>
      </c>
      <c r="J682" s="5">
        <v>4400</v>
      </c>
      <c r="K682" s="5">
        <f>student_data[[#This Row],[Total Fee]]-student_data[[#This Row],[Deposit Fee]]</f>
        <v>0</v>
      </c>
      <c r="L682" s="5" t="str">
        <f>IF(student_data[[#This Row],[Outstanding Fee]]=0,"Paid",IF(student_data[[#This Row],[Deposit Fee]]=0,"Unpaid","Partially Paid"))</f>
        <v>Paid</v>
      </c>
      <c r="M682" s="5" t="s">
        <v>75</v>
      </c>
      <c r="N682"/>
      <c r="O682"/>
      <c r="P682"/>
      <c r="Q682"/>
      <c r="R682"/>
      <c r="S682"/>
      <c r="T682"/>
      <c r="U682"/>
      <c r="V682"/>
      <c r="W682"/>
    </row>
    <row r="683" spans="1:23" ht="15.4">
      <c r="A683" s="5">
        <v>858</v>
      </c>
      <c r="B683" s="5">
        <v>18858</v>
      </c>
      <c r="C683" s="5" t="s">
        <v>924</v>
      </c>
      <c r="D683" s="5" t="s">
        <v>1293</v>
      </c>
      <c r="E683" s="5" t="s">
        <v>9</v>
      </c>
      <c r="F683" s="5" t="s">
        <v>1360</v>
      </c>
      <c r="G683" s="8">
        <v>45565</v>
      </c>
      <c r="H683" s="8" t="str">
        <f t="shared" si="10"/>
        <v>Sep</v>
      </c>
      <c r="I683" s="5">
        <v>4400</v>
      </c>
      <c r="J683" s="5">
        <v>4400</v>
      </c>
      <c r="K683" s="5">
        <f>student_data[[#This Row],[Total Fee]]-student_data[[#This Row],[Deposit Fee]]</f>
        <v>0</v>
      </c>
      <c r="L683" s="5" t="str">
        <f>IF(student_data[[#This Row],[Outstanding Fee]]=0,"Paid",IF(student_data[[#This Row],[Deposit Fee]]=0,"Unpaid","Partially Paid"))</f>
        <v>Paid</v>
      </c>
      <c r="M683" s="5" t="s">
        <v>19</v>
      </c>
      <c r="N683"/>
      <c r="O683"/>
      <c r="P683"/>
      <c r="Q683"/>
      <c r="R683"/>
      <c r="S683"/>
      <c r="T683"/>
      <c r="U683"/>
      <c r="V683"/>
      <c r="W683"/>
    </row>
    <row r="684" spans="1:23" ht="15.4">
      <c r="A684" s="5">
        <v>907</v>
      </c>
      <c r="B684" s="5">
        <v>18907</v>
      </c>
      <c r="C684" s="5" t="s">
        <v>940</v>
      </c>
      <c r="D684" s="5" t="s">
        <v>122</v>
      </c>
      <c r="E684" s="5" t="s">
        <v>9</v>
      </c>
      <c r="F684" s="5" t="s">
        <v>1360</v>
      </c>
      <c r="G684" s="8">
        <v>45565</v>
      </c>
      <c r="H684" s="8" t="str">
        <f t="shared" si="10"/>
        <v>Sep</v>
      </c>
      <c r="I684" s="5">
        <v>4400</v>
      </c>
      <c r="J684" s="5">
        <v>3800</v>
      </c>
      <c r="K684" s="5">
        <f>student_data[[#This Row],[Total Fee]]-student_data[[#This Row],[Deposit Fee]]</f>
        <v>600</v>
      </c>
      <c r="L684" s="5" t="str">
        <f>IF(student_data[[#This Row],[Outstanding Fee]]=0,"Paid",IF(student_data[[#This Row],[Deposit Fee]]=0,"Unpaid","Partially Paid"))</f>
        <v>Partially Paid</v>
      </c>
      <c r="M684" s="5" t="s">
        <v>19</v>
      </c>
      <c r="N684"/>
      <c r="O684"/>
      <c r="P684"/>
      <c r="Q684"/>
      <c r="R684"/>
      <c r="S684"/>
      <c r="T684"/>
      <c r="U684"/>
      <c r="V684"/>
      <c r="W684"/>
    </row>
    <row r="685" spans="1:23" ht="15.4">
      <c r="A685" s="5">
        <v>53</v>
      </c>
      <c r="B685" s="5">
        <v>18053</v>
      </c>
      <c r="C685" s="5" t="s">
        <v>60</v>
      </c>
      <c r="D685" s="5" t="s">
        <v>118</v>
      </c>
      <c r="E685" s="5" t="s">
        <v>25</v>
      </c>
      <c r="F685" s="5" t="s">
        <v>1360</v>
      </c>
      <c r="G685" s="8">
        <v>45566</v>
      </c>
      <c r="H685" s="8" t="str">
        <f t="shared" si="10"/>
        <v>Oct</v>
      </c>
      <c r="I685" s="5">
        <v>4400</v>
      </c>
      <c r="J685" s="5">
        <v>3800</v>
      </c>
      <c r="K685" s="5">
        <f>student_data[[#This Row],[Total Fee]]-student_data[[#This Row],[Deposit Fee]]</f>
        <v>600</v>
      </c>
      <c r="L685" s="5" t="str">
        <f>IF(student_data[[#This Row],[Outstanding Fee]]=0,"Paid",IF(student_data[[#This Row],[Deposit Fee]]=0,"Unpaid","Partially Paid"))</f>
        <v>Partially Paid</v>
      </c>
      <c r="M685" s="5" t="s">
        <v>16</v>
      </c>
      <c r="N685"/>
      <c r="O685"/>
      <c r="P685"/>
      <c r="Q685"/>
      <c r="R685"/>
      <c r="S685"/>
      <c r="T685"/>
      <c r="U685"/>
      <c r="V685"/>
      <c r="W685"/>
    </row>
    <row r="686" spans="1:23" ht="15.4">
      <c r="A686" s="5">
        <v>697</v>
      </c>
      <c r="B686" s="5">
        <v>18697</v>
      </c>
      <c r="C686" s="5" t="s">
        <v>935</v>
      </c>
      <c r="D686" s="5" t="s">
        <v>1092</v>
      </c>
      <c r="E686" s="5" t="s">
        <v>9</v>
      </c>
      <c r="F686" s="5" t="s">
        <v>1360</v>
      </c>
      <c r="G686" s="8">
        <v>45566</v>
      </c>
      <c r="H686" s="8" t="str">
        <f t="shared" si="10"/>
        <v>Oct</v>
      </c>
      <c r="I686" s="5">
        <v>4400</v>
      </c>
      <c r="J686" s="5">
        <v>3800</v>
      </c>
      <c r="K686" s="5">
        <f>student_data[[#This Row],[Total Fee]]-student_data[[#This Row],[Deposit Fee]]</f>
        <v>600</v>
      </c>
      <c r="L686" s="5" t="str">
        <f>IF(student_data[[#This Row],[Outstanding Fee]]=0,"Paid",IF(student_data[[#This Row],[Deposit Fee]]=0,"Unpaid","Partially Paid"))</f>
        <v>Partially Paid</v>
      </c>
      <c r="M686" s="5" t="s">
        <v>16</v>
      </c>
      <c r="N686"/>
      <c r="O686"/>
      <c r="P686"/>
      <c r="Q686"/>
      <c r="R686"/>
      <c r="S686"/>
      <c r="T686"/>
      <c r="U686"/>
      <c r="V686"/>
      <c r="W686"/>
    </row>
    <row r="687" spans="1:23" ht="15.4">
      <c r="A687" s="5">
        <v>859</v>
      </c>
      <c r="B687" s="5">
        <v>18859</v>
      </c>
      <c r="C687" s="5" t="s">
        <v>926</v>
      </c>
      <c r="D687" s="5" t="s">
        <v>211</v>
      </c>
      <c r="E687" s="5" t="s">
        <v>9</v>
      </c>
      <c r="F687" s="5" t="s">
        <v>1360</v>
      </c>
      <c r="G687" s="8">
        <v>45566</v>
      </c>
      <c r="H687" s="8" t="str">
        <f t="shared" si="10"/>
        <v>Oct</v>
      </c>
      <c r="I687" s="5">
        <v>4400</v>
      </c>
      <c r="J687" s="5">
        <v>2800</v>
      </c>
      <c r="K687" s="5">
        <f>student_data[[#This Row],[Total Fee]]-student_data[[#This Row],[Deposit Fee]]</f>
        <v>1600</v>
      </c>
      <c r="L687" s="5" t="str">
        <f>IF(student_data[[#This Row],[Outstanding Fee]]=0,"Paid",IF(student_data[[#This Row],[Deposit Fee]]=0,"Unpaid","Partially Paid"))</f>
        <v>Partially Paid</v>
      </c>
      <c r="M687" s="5" t="s">
        <v>47</v>
      </c>
      <c r="N687"/>
      <c r="O687"/>
      <c r="P687"/>
      <c r="Q687"/>
      <c r="R687"/>
      <c r="S687"/>
      <c r="T687"/>
      <c r="U687"/>
      <c r="V687"/>
      <c r="W687"/>
    </row>
    <row r="688" spans="1:23" ht="15.4">
      <c r="A688" s="5">
        <v>139</v>
      </c>
      <c r="B688" s="5">
        <v>18139</v>
      </c>
      <c r="C688" s="5" t="s">
        <v>212</v>
      </c>
      <c r="D688" s="5" t="s">
        <v>250</v>
      </c>
      <c r="E688" s="5" t="s">
        <v>25</v>
      </c>
      <c r="F688" s="5" t="s">
        <v>1360</v>
      </c>
      <c r="G688" s="8">
        <v>45567</v>
      </c>
      <c r="H688" s="8" t="str">
        <f t="shared" si="10"/>
        <v>Oct</v>
      </c>
      <c r="I688" s="5">
        <v>4400</v>
      </c>
      <c r="J688" s="5">
        <v>4400</v>
      </c>
      <c r="K688" s="5">
        <f>student_data[[#This Row],[Total Fee]]-student_data[[#This Row],[Deposit Fee]]</f>
        <v>0</v>
      </c>
      <c r="L688" s="5" t="str">
        <f>IF(student_data[[#This Row],[Outstanding Fee]]=0,"Paid",IF(student_data[[#This Row],[Deposit Fee]]=0,"Unpaid","Partially Paid"))</f>
        <v>Paid</v>
      </c>
      <c r="M688" s="5" t="s">
        <v>13</v>
      </c>
      <c r="N688"/>
      <c r="O688"/>
      <c r="P688"/>
      <c r="Q688"/>
      <c r="R688"/>
      <c r="S688"/>
      <c r="T688"/>
      <c r="U688"/>
      <c r="V688"/>
      <c r="W688"/>
    </row>
    <row r="689" spans="1:23" ht="15.4">
      <c r="A689" s="5">
        <v>860</v>
      </c>
      <c r="B689" s="5">
        <v>18860</v>
      </c>
      <c r="C689" s="5" t="s">
        <v>501</v>
      </c>
      <c r="D689" s="5" t="s">
        <v>490</v>
      </c>
      <c r="E689" s="5" t="s">
        <v>25</v>
      </c>
      <c r="F689" s="5" t="s">
        <v>1360</v>
      </c>
      <c r="G689" s="8">
        <v>45567</v>
      </c>
      <c r="H689" s="8" t="str">
        <f t="shared" si="10"/>
        <v>Oct</v>
      </c>
      <c r="I689" s="5">
        <v>4400</v>
      </c>
      <c r="J689" s="5">
        <v>4400</v>
      </c>
      <c r="K689" s="5">
        <f>student_data[[#This Row],[Total Fee]]-student_data[[#This Row],[Deposit Fee]]</f>
        <v>0</v>
      </c>
      <c r="L689" s="5" t="str">
        <f>IF(student_data[[#This Row],[Outstanding Fee]]=0,"Paid",IF(student_data[[#This Row],[Deposit Fee]]=0,"Unpaid","Partially Paid"))</f>
        <v>Paid</v>
      </c>
      <c r="M689" s="5" t="s">
        <v>19</v>
      </c>
      <c r="N689"/>
      <c r="O689"/>
      <c r="P689"/>
      <c r="Q689"/>
      <c r="R689"/>
      <c r="S689"/>
      <c r="T689"/>
      <c r="U689"/>
      <c r="V689"/>
      <c r="W689"/>
    </row>
    <row r="690" spans="1:23" ht="15.4">
      <c r="A690" s="5">
        <v>861</v>
      </c>
      <c r="B690" s="5">
        <v>18861</v>
      </c>
      <c r="C690" s="5" t="s">
        <v>928</v>
      </c>
      <c r="D690" s="5" t="s">
        <v>117</v>
      </c>
      <c r="E690" s="5" t="s">
        <v>9</v>
      </c>
      <c r="F690" s="5" t="s">
        <v>1360</v>
      </c>
      <c r="G690" s="8">
        <v>45567</v>
      </c>
      <c r="H690" s="8" t="str">
        <f t="shared" si="10"/>
        <v>Oct</v>
      </c>
      <c r="I690" s="5">
        <v>4400</v>
      </c>
      <c r="J690" s="5">
        <v>4400</v>
      </c>
      <c r="K690" s="5">
        <f>student_data[[#This Row],[Total Fee]]-student_data[[#This Row],[Deposit Fee]]</f>
        <v>0</v>
      </c>
      <c r="L690" s="5" t="str">
        <f>IF(student_data[[#This Row],[Outstanding Fee]]=0,"Paid",IF(student_data[[#This Row],[Deposit Fee]]=0,"Unpaid","Partially Paid"))</f>
        <v>Paid</v>
      </c>
      <c r="M690" s="5" t="s">
        <v>47</v>
      </c>
      <c r="N690"/>
      <c r="O690"/>
      <c r="P690"/>
      <c r="Q690"/>
      <c r="R690"/>
      <c r="S690"/>
      <c r="T690"/>
      <c r="U690"/>
      <c r="V690"/>
      <c r="W690"/>
    </row>
    <row r="691" spans="1:23" ht="15.4">
      <c r="A691" s="5">
        <v>54</v>
      </c>
      <c r="B691" s="5">
        <v>18054</v>
      </c>
      <c r="C691" s="5" t="s">
        <v>110</v>
      </c>
      <c r="D691" s="5" t="s">
        <v>119</v>
      </c>
      <c r="E691" s="5" t="s">
        <v>9</v>
      </c>
      <c r="F691" s="5" t="s">
        <v>1360</v>
      </c>
      <c r="G691" s="8">
        <v>45568</v>
      </c>
      <c r="H691" s="8" t="str">
        <f t="shared" si="10"/>
        <v>Oct</v>
      </c>
      <c r="I691" s="5">
        <v>4400</v>
      </c>
      <c r="J691" s="5">
        <v>4000</v>
      </c>
      <c r="K691" s="5">
        <f>student_data[[#This Row],[Total Fee]]-student_data[[#This Row],[Deposit Fee]]</f>
        <v>400</v>
      </c>
      <c r="L691" s="5" t="str">
        <f>IF(student_data[[#This Row],[Outstanding Fee]]=0,"Paid",IF(student_data[[#This Row],[Deposit Fee]]=0,"Unpaid","Partially Paid"))</f>
        <v>Partially Paid</v>
      </c>
      <c r="M691" s="5" t="s">
        <v>19</v>
      </c>
      <c r="N691"/>
      <c r="O691"/>
      <c r="P691"/>
      <c r="Q691"/>
      <c r="R691"/>
      <c r="S691"/>
      <c r="T691"/>
      <c r="U691"/>
      <c r="V691"/>
      <c r="W691"/>
    </row>
    <row r="692" spans="1:23" ht="15.4">
      <c r="A692" s="5">
        <v>55</v>
      </c>
      <c r="B692" s="5">
        <v>18055</v>
      </c>
      <c r="C692" s="5" t="s">
        <v>54</v>
      </c>
      <c r="D692" s="5" t="s">
        <v>120</v>
      </c>
      <c r="E692" s="5" t="s">
        <v>9</v>
      </c>
      <c r="F692" s="5" t="s">
        <v>1360</v>
      </c>
      <c r="G692" s="8">
        <v>45568</v>
      </c>
      <c r="H692" s="8" t="str">
        <f t="shared" si="10"/>
        <v>Oct</v>
      </c>
      <c r="I692" s="5">
        <v>4400</v>
      </c>
      <c r="J692" s="5">
        <v>3800</v>
      </c>
      <c r="K692" s="5">
        <f>student_data[[#This Row],[Total Fee]]-student_data[[#This Row],[Deposit Fee]]</f>
        <v>600</v>
      </c>
      <c r="L692" s="5" t="str">
        <f>IF(student_data[[#This Row],[Outstanding Fee]]=0,"Paid",IF(student_data[[#This Row],[Deposit Fee]]=0,"Unpaid","Partially Paid"))</f>
        <v>Partially Paid</v>
      </c>
      <c r="M692" s="5" t="s">
        <v>47</v>
      </c>
      <c r="N692"/>
      <c r="O692"/>
      <c r="P692"/>
      <c r="Q692"/>
      <c r="R692"/>
      <c r="S692"/>
      <c r="T692"/>
      <c r="U692"/>
      <c r="V692"/>
      <c r="W692"/>
    </row>
    <row r="693" spans="1:23" ht="15.4">
      <c r="A693" s="5">
        <v>140</v>
      </c>
      <c r="B693" s="5">
        <v>18140</v>
      </c>
      <c r="C693" s="5" t="s">
        <v>231</v>
      </c>
      <c r="D693" s="5" t="s">
        <v>251</v>
      </c>
      <c r="E693" s="5" t="s">
        <v>9</v>
      </c>
      <c r="F693" s="5" t="s">
        <v>1360</v>
      </c>
      <c r="G693" s="8">
        <v>45568</v>
      </c>
      <c r="H693" s="8" t="str">
        <f t="shared" si="10"/>
        <v>Oct</v>
      </c>
      <c r="I693" s="5">
        <v>4400</v>
      </c>
      <c r="J693" s="5">
        <v>4000</v>
      </c>
      <c r="K693" s="5">
        <f>student_data[[#This Row],[Total Fee]]-student_data[[#This Row],[Deposit Fee]]</f>
        <v>400</v>
      </c>
      <c r="L693" s="5" t="str">
        <f>IF(student_data[[#This Row],[Outstanding Fee]]=0,"Paid",IF(student_data[[#This Row],[Deposit Fee]]=0,"Unpaid","Partially Paid"))</f>
        <v>Partially Paid</v>
      </c>
      <c r="M693" s="5" t="s">
        <v>38</v>
      </c>
      <c r="N693"/>
      <c r="O693"/>
      <c r="P693"/>
      <c r="Q693"/>
      <c r="R693"/>
      <c r="S693"/>
      <c r="T693"/>
      <c r="U693"/>
      <c r="V693"/>
      <c r="W693"/>
    </row>
    <row r="694" spans="1:23" ht="15.4">
      <c r="A694" s="5">
        <v>56</v>
      </c>
      <c r="B694" s="5">
        <v>18056</v>
      </c>
      <c r="C694" s="5" t="s">
        <v>62</v>
      </c>
      <c r="D694" s="5" t="s">
        <v>121</v>
      </c>
      <c r="E694" s="5" t="s">
        <v>9</v>
      </c>
      <c r="F694" s="5" t="s">
        <v>1360</v>
      </c>
      <c r="G694" s="8">
        <v>45569</v>
      </c>
      <c r="H694" s="8" t="str">
        <f t="shared" si="10"/>
        <v>Oct</v>
      </c>
      <c r="I694" s="5">
        <v>4400</v>
      </c>
      <c r="J694" s="5">
        <v>3800</v>
      </c>
      <c r="K694" s="5">
        <f>student_data[[#This Row],[Total Fee]]-student_data[[#This Row],[Deposit Fee]]</f>
        <v>600</v>
      </c>
      <c r="L694" s="5" t="str">
        <f>IF(student_data[[#This Row],[Outstanding Fee]]=0,"Paid",IF(student_data[[#This Row],[Deposit Fee]]=0,"Unpaid","Partially Paid"))</f>
        <v>Partially Paid</v>
      </c>
      <c r="M694" s="5" t="s">
        <v>75</v>
      </c>
      <c r="N694"/>
      <c r="O694"/>
      <c r="P694"/>
      <c r="Q694"/>
      <c r="R694"/>
      <c r="S694"/>
      <c r="T694"/>
      <c r="U694"/>
      <c r="V694"/>
      <c r="W694"/>
    </row>
    <row r="695" spans="1:23" ht="15.4">
      <c r="A695" s="5">
        <v>57</v>
      </c>
      <c r="B695" s="5">
        <v>18057</v>
      </c>
      <c r="C695" s="5" t="s">
        <v>69</v>
      </c>
      <c r="D695" s="5" t="s">
        <v>122</v>
      </c>
      <c r="E695" s="5" t="s">
        <v>25</v>
      </c>
      <c r="F695" s="5" t="s">
        <v>1360</v>
      </c>
      <c r="G695" s="8">
        <v>45569</v>
      </c>
      <c r="H695" s="8" t="str">
        <f t="shared" si="10"/>
        <v>Oct</v>
      </c>
      <c r="I695" s="5">
        <v>4400</v>
      </c>
      <c r="J695" s="5">
        <v>4400</v>
      </c>
      <c r="K695" s="5">
        <f>student_data[[#This Row],[Total Fee]]-student_data[[#This Row],[Deposit Fee]]</f>
        <v>0</v>
      </c>
      <c r="L695" s="5" t="str">
        <f>IF(student_data[[#This Row],[Outstanding Fee]]=0,"Paid",IF(student_data[[#This Row],[Deposit Fee]]=0,"Unpaid","Partially Paid"))</f>
        <v>Paid</v>
      </c>
      <c r="M695" s="5" t="s">
        <v>89</v>
      </c>
      <c r="N695"/>
      <c r="O695"/>
      <c r="P695"/>
      <c r="Q695"/>
      <c r="R695"/>
      <c r="S695"/>
      <c r="T695"/>
      <c r="U695"/>
      <c r="V695"/>
      <c r="W695"/>
    </row>
    <row r="696" spans="1:23" ht="15.4">
      <c r="A696" s="5">
        <v>924</v>
      </c>
      <c r="B696" s="5">
        <v>18924</v>
      </c>
      <c r="C696" s="5" t="s">
        <v>948</v>
      </c>
      <c r="D696" s="5" t="s">
        <v>1356</v>
      </c>
      <c r="E696" s="5" t="s">
        <v>25</v>
      </c>
      <c r="F696" s="5" t="s">
        <v>1360</v>
      </c>
      <c r="G696" s="8">
        <v>45569</v>
      </c>
      <c r="H696" s="8" t="str">
        <f t="shared" si="10"/>
        <v>Oct</v>
      </c>
      <c r="I696" s="5">
        <v>4400</v>
      </c>
      <c r="J696" s="5">
        <v>4400</v>
      </c>
      <c r="K696" s="5">
        <f>student_data[[#This Row],[Total Fee]]-student_data[[#This Row],[Deposit Fee]]</f>
        <v>0</v>
      </c>
      <c r="L696" s="5" t="str">
        <f>IF(student_data[[#This Row],[Outstanding Fee]]=0,"Paid",IF(student_data[[#This Row],[Deposit Fee]]=0,"Unpaid","Partially Paid"))</f>
        <v>Paid</v>
      </c>
      <c r="M696" s="5" t="s">
        <v>13</v>
      </c>
      <c r="N696"/>
      <c r="O696"/>
      <c r="P696"/>
      <c r="Q696"/>
      <c r="R696"/>
      <c r="S696"/>
      <c r="T696"/>
      <c r="U696"/>
      <c r="V696"/>
      <c r="W696"/>
    </row>
    <row r="697" spans="1:23" ht="15.4">
      <c r="A697" s="5">
        <v>58</v>
      </c>
      <c r="B697" s="5">
        <v>18058</v>
      </c>
      <c r="C697" s="5" t="s">
        <v>58</v>
      </c>
      <c r="D697" s="5" t="s">
        <v>123</v>
      </c>
      <c r="E697" s="5" t="s">
        <v>9</v>
      </c>
      <c r="F697" s="5" t="s">
        <v>1360</v>
      </c>
      <c r="G697" s="8">
        <v>45570</v>
      </c>
      <c r="H697" s="8" t="str">
        <f t="shared" si="10"/>
        <v>Oct</v>
      </c>
      <c r="I697" s="5">
        <v>4400</v>
      </c>
      <c r="J697" s="5">
        <v>3800</v>
      </c>
      <c r="K697" s="5">
        <f>student_data[[#This Row],[Total Fee]]-student_data[[#This Row],[Deposit Fee]]</f>
        <v>600</v>
      </c>
      <c r="L697" s="5" t="str">
        <f>IF(student_data[[#This Row],[Outstanding Fee]]=0,"Paid",IF(student_data[[#This Row],[Deposit Fee]]=0,"Unpaid","Partially Paid"))</f>
        <v>Partially Paid</v>
      </c>
      <c r="M697" s="5" t="s">
        <v>29</v>
      </c>
      <c r="N697"/>
      <c r="O697"/>
      <c r="P697"/>
      <c r="Q697"/>
      <c r="R697"/>
      <c r="S697"/>
      <c r="T697"/>
      <c r="U697"/>
      <c r="V697"/>
      <c r="W697"/>
    </row>
    <row r="698" spans="1:23" ht="15.4">
      <c r="A698" s="5">
        <v>98</v>
      </c>
      <c r="B698" s="5">
        <v>18098</v>
      </c>
      <c r="C698" s="5" t="s">
        <v>167</v>
      </c>
      <c r="D698" s="5" t="s">
        <v>194</v>
      </c>
      <c r="E698" s="5" t="s">
        <v>9</v>
      </c>
      <c r="F698" s="5" t="s">
        <v>1360</v>
      </c>
      <c r="G698" s="8">
        <v>45570</v>
      </c>
      <c r="H698" s="8" t="str">
        <f t="shared" si="10"/>
        <v>Oct</v>
      </c>
      <c r="I698" s="5">
        <v>4400</v>
      </c>
      <c r="J698" s="5">
        <v>3800</v>
      </c>
      <c r="K698" s="5">
        <f>student_data[[#This Row],[Total Fee]]-student_data[[#This Row],[Deposit Fee]]</f>
        <v>600</v>
      </c>
      <c r="L698" s="5" t="str">
        <f>IF(student_data[[#This Row],[Outstanding Fee]]=0,"Paid",IF(student_data[[#This Row],[Deposit Fee]]=0,"Unpaid","Partially Paid"))</f>
        <v>Partially Paid</v>
      </c>
      <c r="M698" s="5" t="s">
        <v>13</v>
      </c>
      <c r="N698"/>
      <c r="O698"/>
      <c r="P698"/>
      <c r="Q698"/>
      <c r="R698"/>
      <c r="S698"/>
      <c r="T698"/>
      <c r="U698"/>
      <c r="V698"/>
      <c r="W698"/>
    </row>
    <row r="699" spans="1:23" ht="15.4">
      <c r="A699" s="5">
        <v>908</v>
      </c>
      <c r="B699" s="5">
        <v>18908</v>
      </c>
      <c r="C699" s="5" t="s">
        <v>620</v>
      </c>
      <c r="D699" s="5" t="s">
        <v>1347</v>
      </c>
      <c r="E699" s="5" t="s">
        <v>25</v>
      </c>
      <c r="F699" s="5" t="s">
        <v>1360</v>
      </c>
      <c r="G699" s="8">
        <v>45570</v>
      </c>
      <c r="H699" s="8" t="str">
        <f t="shared" si="10"/>
        <v>Oct</v>
      </c>
      <c r="I699" s="5">
        <v>4400</v>
      </c>
      <c r="J699" s="5">
        <v>500</v>
      </c>
      <c r="K699" s="5">
        <f>student_data[[#This Row],[Total Fee]]-student_data[[#This Row],[Deposit Fee]]</f>
        <v>3900</v>
      </c>
      <c r="L699" s="5" t="str">
        <f>IF(student_data[[#This Row],[Outstanding Fee]]=0,"Paid",IF(student_data[[#This Row],[Deposit Fee]]=0,"Unpaid","Partially Paid"))</f>
        <v>Partially Paid</v>
      </c>
      <c r="M699" s="5" t="s">
        <v>22</v>
      </c>
      <c r="N699"/>
      <c r="O699"/>
      <c r="P699"/>
      <c r="Q699"/>
      <c r="R699"/>
      <c r="S699"/>
      <c r="T699"/>
      <c r="U699"/>
      <c r="V699"/>
      <c r="W699"/>
    </row>
    <row r="700" spans="1:23" ht="15.4">
      <c r="A700" s="5">
        <v>862</v>
      </c>
      <c r="B700" s="5">
        <v>18862</v>
      </c>
      <c r="C700" s="5" t="s">
        <v>930</v>
      </c>
      <c r="D700" s="5" t="s">
        <v>361</v>
      </c>
      <c r="E700" s="5" t="s">
        <v>9</v>
      </c>
      <c r="F700" s="5" t="s">
        <v>1360</v>
      </c>
      <c r="G700" s="8">
        <v>45572</v>
      </c>
      <c r="H700" s="8" t="str">
        <f t="shared" si="10"/>
        <v>Oct</v>
      </c>
      <c r="I700" s="5">
        <v>4400</v>
      </c>
      <c r="J700" s="5">
        <v>2800</v>
      </c>
      <c r="K700" s="5">
        <f>student_data[[#This Row],[Total Fee]]-student_data[[#This Row],[Deposit Fee]]</f>
        <v>1600</v>
      </c>
      <c r="L700" s="5" t="str">
        <f>IF(student_data[[#This Row],[Outstanding Fee]]=0,"Paid",IF(student_data[[#This Row],[Deposit Fee]]=0,"Unpaid","Partially Paid"))</f>
        <v>Partially Paid</v>
      </c>
      <c r="M700" s="5" t="s">
        <v>75</v>
      </c>
      <c r="N700"/>
      <c r="O700"/>
      <c r="P700"/>
      <c r="Q700"/>
      <c r="R700"/>
      <c r="S700"/>
      <c r="T700"/>
      <c r="U700"/>
      <c r="V700"/>
      <c r="W700"/>
    </row>
    <row r="701" spans="1:23" ht="15.4">
      <c r="A701" s="5">
        <v>863</v>
      </c>
      <c r="B701" s="5">
        <v>18863</v>
      </c>
      <c r="C701" s="5" t="s">
        <v>931</v>
      </c>
      <c r="D701" s="5" t="s">
        <v>1294</v>
      </c>
      <c r="E701" s="5" t="s">
        <v>9</v>
      </c>
      <c r="F701" s="5" t="s">
        <v>1360</v>
      </c>
      <c r="G701" s="8">
        <v>45572</v>
      </c>
      <c r="H701" s="8" t="str">
        <f t="shared" si="10"/>
        <v>Oct</v>
      </c>
      <c r="I701" s="5">
        <v>4400</v>
      </c>
      <c r="J701" s="5">
        <v>4400</v>
      </c>
      <c r="K701" s="5">
        <f>student_data[[#This Row],[Total Fee]]-student_data[[#This Row],[Deposit Fee]]</f>
        <v>0</v>
      </c>
      <c r="L701" s="5" t="str">
        <f>IF(student_data[[#This Row],[Outstanding Fee]]=0,"Paid",IF(student_data[[#This Row],[Deposit Fee]]=0,"Unpaid","Partially Paid"))</f>
        <v>Paid</v>
      </c>
      <c r="M701" s="5" t="s">
        <v>89</v>
      </c>
      <c r="N701"/>
      <c r="O701"/>
      <c r="P701"/>
      <c r="Q701"/>
      <c r="R701"/>
      <c r="S701"/>
      <c r="T701"/>
      <c r="U701"/>
      <c r="V701"/>
      <c r="W701"/>
    </row>
    <row r="702" spans="1:23" ht="15.4">
      <c r="A702" s="5">
        <v>925</v>
      </c>
      <c r="B702" s="5">
        <v>18925</v>
      </c>
      <c r="C702" s="5" t="s">
        <v>173</v>
      </c>
      <c r="D702" s="5" t="s">
        <v>1357</v>
      </c>
      <c r="E702" s="5" t="s">
        <v>9</v>
      </c>
      <c r="F702" s="5" t="s">
        <v>1360</v>
      </c>
      <c r="G702" s="8">
        <v>45572</v>
      </c>
      <c r="H702" s="8" t="str">
        <f t="shared" si="10"/>
        <v>Oct</v>
      </c>
      <c r="I702" s="5">
        <v>4400</v>
      </c>
      <c r="J702" s="5">
        <v>4400</v>
      </c>
      <c r="K702" s="5">
        <f>student_data[[#This Row],[Total Fee]]-student_data[[#This Row],[Deposit Fee]]</f>
        <v>0</v>
      </c>
      <c r="L702" s="5" t="str">
        <f>IF(student_data[[#This Row],[Outstanding Fee]]=0,"Paid",IF(student_data[[#This Row],[Deposit Fee]]=0,"Unpaid","Partially Paid"))</f>
        <v>Paid</v>
      </c>
      <c r="M702" s="5" t="s">
        <v>47</v>
      </c>
      <c r="N702"/>
      <c r="O702"/>
      <c r="P702"/>
      <c r="Q702"/>
      <c r="R702"/>
      <c r="S702"/>
      <c r="T702"/>
      <c r="U702"/>
      <c r="V702"/>
      <c r="W702"/>
    </row>
    <row r="703" spans="1:23" ht="15.4">
      <c r="A703" s="5">
        <v>59</v>
      </c>
      <c r="B703" s="5">
        <v>18059</v>
      </c>
      <c r="C703" s="5" t="s">
        <v>51</v>
      </c>
      <c r="D703" s="5" t="s">
        <v>124</v>
      </c>
      <c r="E703" s="5" t="s">
        <v>25</v>
      </c>
      <c r="F703" s="5" t="s">
        <v>1360</v>
      </c>
      <c r="G703" s="8">
        <v>45573</v>
      </c>
      <c r="H703" s="8" t="str">
        <f t="shared" si="10"/>
        <v>Oct</v>
      </c>
      <c r="I703" s="5">
        <v>4400</v>
      </c>
      <c r="J703" s="5">
        <v>4000</v>
      </c>
      <c r="K703" s="5">
        <f>student_data[[#This Row],[Total Fee]]-student_data[[#This Row],[Deposit Fee]]</f>
        <v>400</v>
      </c>
      <c r="L703" s="5" t="str">
        <f>IF(student_data[[#This Row],[Outstanding Fee]]=0,"Paid",IF(student_data[[#This Row],[Deposit Fee]]=0,"Unpaid","Partially Paid"))</f>
        <v>Partially Paid</v>
      </c>
      <c r="M703" s="5" t="s">
        <v>75</v>
      </c>
      <c r="N703"/>
      <c r="O703"/>
      <c r="P703"/>
      <c r="Q703"/>
      <c r="R703"/>
      <c r="S703"/>
      <c r="T703"/>
      <c r="U703"/>
      <c r="V703"/>
      <c r="W703"/>
    </row>
    <row r="704" spans="1:23" ht="15.4">
      <c r="A704" s="5">
        <v>60</v>
      </c>
      <c r="B704" s="5">
        <v>18060</v>
      </c>
      <c r="C704" s="5" t="s">
        <v>108</v>
      </c>
      <c r="D704" s="5" t="s">
        <v>125</v>
      </c>
      <c r="E704" s="5" t="s">
        <v>25</v>
      </c>
      <c r="F704" s="5" t="s">
        <v>1360</v>
      </c>
      <c r="G704" s="8">
        <v>45573</v>
      </c>
      <c r="H704" s="8" t="str">
        <f t="shared" si="10"/>
        <v>Oct</v>
      </c>
      <c r="I704" s="5">
        <v>4400</v>
      </c>
      <c r="J704" s="5">
        <v>3800</v>
      </c>
      <c r="K704" s="5">
        <f>student_data[[#This Row],[Total Fee]]-student_data[[#This Row],[Deposit Fee]]</f>
        <v>600</v>
      </c>
      <c r="L704" s="5" t="str">
        <f>IF(student_data[[#This Row],[Outstanding Fee]]=0,"Paid",IF(student_data[[#This Row],[Deposit Fee]]=0,"Unpaid","Partially Paid"))</f>
        <v>Partially Paid</v>
      </c>
      <c r="M704" s="5" t="s">
        <v>75</v>
      </c>
      <c r="N704"/>
      <c r="O704"/>
      <c r="P704"/>
      <c r="Q704"/>
      <c r="R704"/>
      <c r="S704"/>
      <c r="T704"/>
      <c r="U704"/>
      <c r="V704"/>
      <c r="W704"/>
    </row>
    <row r="705" spans="1:23" ht="15.4">
      <c r="A705" s="5">
        <v>698</v>
      </c>
      <c r="B705" s="5">
        <v>18698</v>
      </c>
      <c r="C705" s="5" t="s">
        <v>938</v>
      </c>
      <c r="D705" s="5" t="s">
        <v>1093</v>
      </c>
      <c r="E705" s="5" t="s">
        <v>25</v>
      </c>
      <c r="F705" s="5" t="s">
        <v>1360</v>
      </c>
      <c r="G705" s="8">
        <v>45573</v>
      </c>
      <c r="H705" s="8" t="str">
        <f t="shared" si="10"/>
        <v>Oct</v>
      </c>
      <c r="I705" s="5">
        <v>4400</v>
      </c>
      <c r="J705" s="5">
        <v>4000</v>
      </c>
      <c r="K705" s="5">
        <f>student_data[[#This Row],[Total Fee]]-student_data[[#This Row],[Deposit Fee]]</f>
        <v>400</v>
      </c>
      <c r="L705" s="5" t="str">
        <f>IF(student_data[[#This Row],[Outstanding Fee]]=0,"Paid",IF(student_data[[#This Row],[Deposit Fee]]=0,"Unpaid","Partially Paid"))</f>
        <v>Partially Paid</v>
      </c>
      <c r="M705" s="5" t="s">
        <v>19</v>
      </c>
      <c r="N705"/>
      <c r="O705"/>
      <c r="P705"/>
      <c r="Q705"/>
      <c r="R705"/>
      <c r="S705"/>
      <c r="T705"/>
      <c r="U705"/>
      <c r="V705"/>
      <c r="W705"/>
    </row>
    <row r="706" spans="1:23" ht="15.4">
      <c r="A706" s="5">
        <v>826</v>
      </c>
      <c r="B706" s="5">
        <v>18826</v>
      </c>
      <c r="C706" s="5" t="s">
        <v>1267</v>
      </c>
      <c r="D706" s="5" t="s">
        <v>118</v>
      </c>
      <c r="E706" s="5" t="s">
        <v>9</v>
      </c>
      <c r="F706" s="5" t="s">
        <v>1364</v>
      </c>
      <c r="G706" s="8">
        <v>45574</v>
      </c>
      <c r="H706" s="8" t="str">
        <f t="shared" ref="H706:H769" si="11">TEXT(G706,"mmm")</f>
        <v>Oct</v>
      </c>
      <c r="I706" s="5">
        <v>1800</v>
      </c>
      <c r="J706" s="5">
        <v>1400</v>
      </c>
      <c r="K706" s="5">
        <f>student_data[[#This Row],[Total Fee]]-student_data[[#This Row],[Deposit Fee]]</f>
        <v>400</v>
      </c>
      <c r="L706" s="5" t="str">
        <f>IF(student_data[[#This Row],[Outstanding Fee]]=0,"Paid",IF(student_data[[#This Row],[Deposit Fee]]=0,"Unpaid","Partially Paid"))</f>
        <v>Partially Paid</v>
      </c>
      <c r="M706" s="5" t="s">
        <v>38</v>
      </c>
      <c r="N706"/>
      <c r="O706"/>
      <c r="P706"/>
      <c r="Q706"/>
      <c r="R706"/>
      <c r="S706"/>
      <c r="T706"/>
      <c r="U706"/>
      <c r="V706"/>
      <c r="W706"/>
    </row>
    <row r="707" spans="1:23" ht="15.4">
      <c r="A707" s="5">
        <v>864</v>
      </c>
      <c r="B707" s="5">
        <v>18864</v>
      </c>
      <c r="C707" s="5" t="s">
        <v>933</v>
      </c>
      <c r="D707" s="5" t="s">
        <v>1295</v>
      </c>
      <c r="E707" s="5" t="s">
        <v>9</v>
      </c>
      <c r="F707" s="5" t="s">
        <v>1360</v>
      </c>
      <c r="G707" s="8">
        <v>45574</v>
      </c>
      <c r="H707" s="8" t="str">
        <f t="shared" si="11"/>
        <v>Oct</v>
      </c>
      <c r="I707" s="5">
        <v>4400</v>
      </c>
      <c r="J707" s="5">
        <v>3800</v>
      </c>
      <c r="K707" s="5">
        <f>student_data[[#This Row],[Total Fee]]-student_data[[#This Row],[Deposit Fee]]</f>
        <v>600</v>
      </c>
      <c r="L707" s="5" t="str">
        <f>IF(student_data[[#This Row],[Outstanding Fee]]=0,"Paid",IF(student_data[[#This Row],[Deposit Fee]]=0,"Unpaid","Partially Paid"))</f>
        <v>Partially Paid</v>
      </c>
      <c r="M707" s="5" t="s">
        <v>29</v>
      </c>
      <c r="N707"/>
      <c r="O707"/>
      <c r="P707"/>
      <c r="Q707"/>
      <c r="R707"/>
      <c r="S707"/>
      <c r="T707"/>
      <c r="U707"/>
      <c r="V707"/>
      <c r="W707"/>
    </row>
    <row r="708" spans="1:23" ht="15.4">
      <c r="A708" s="5">
        <v>909</v>
      </c>
      <c r="B708" s="5">
        <v>18909</v>
      </c>
      <c r="C708" s="5" t="s">
        <v>1348</v>
      </c>
      <c r="D708" s="5" t="s">
        <v>1349</v>
      </c>
      <c r="E708" s="5" t="s">
        <v>9</v>
      </c>
      <c r="F708" s="5" t="s">
        <v>1362</v>
      </c>
      <c r="G708" s="8">
        <v>45574</v>
      </c>
      <c r="H708" s="8" t="str">
        <f t="shared" si="11"/>
        <v>Oct</v>
      </c>
      <c r="I708" s="5">
        <v>3200</v>
      </c>
      <c r="J708" s="5">
        <v>3200</v>
      </c>
      <c r="K708" s="5">
        <f>student_data[[#This Row],[Total Fee]]-student_data[[#This Row],[Deposit Fee]]</f>
        <v>0</v>
      </c>
      <c r="L708" s="5" t="str">
        <f>IF(student_data[[#This Row],[Outstanding Fee]]=0,"Paid",IF(student_data[[#This Row],[Deposit Fee]]=0,"Unpaid","Partially Paid"))</f>
        <v>Paid</v>
      </c>
      <c r="M708" s="5" t="s">
        <v>26</v>
      </c>
      <c r="N708"/>
      <c r="O708"/>
      <c r="P708"/>
      <c r="Q708"/>
      <c r="R708"/>
      <c r="S708"/>
      <c r="T708"/>
      <c r="U708"/>
      <c r="V708"/>
      <c r="W708"/>
    </row>
    <row r="709" spans="1:23" ht="15.4">
      <c r="A709" s="5">
        <v>468</v>
      </c>
      <c r="B709" s="5">
        <v>18468</v>
      </c>
      <c r="C709" s="5" t="s">
        <v>795</v>
      </c>
      <c r="D709" s="5" t="s">
        <v>184</v>
      </c>
      <c r="E709" s="5" t="s">
        <v>9</v>
      </c>
      <c r="F709" s="5" t="s">
        <v>1360</v>
      </c>
      <c r="G709" s="8">
        <v>45575</v>
      </c>
      <c r="H709" s="8" t="str">
        <f t="shared" si="11"/>
        <v>Oct</v>
      </c>
      <c r="I709" s="5">
        <v>4400</v>
      </c>
      <c r="J709" s="5">
        <v>400</v>
      </c>
      <c r="K709" s="5">
        <f>student_data[[#This Row],[Total Fee]]-student_data[[#This Row],[Deposit Fee]]</f>
        <v>4000</v>
      </c>
      <c r="L709" s="5" t="str">
        <f>IF(student_data[[#This Row],[Outstanding Fee]]=0,"Paid",IF(student_data[[#This Row],[Deposit Fee]]=0,"Unpaid","Partially Paid"))</f>
        <v>Partially Paid</v>
      </c>
      <c r="M709" s="5" t="s">
        <v>50</v>
      </c>
      <c r="N709"/>
      <c r="O709"/>
      <c r="P709"/>
      <c r="Q709"/>
      <c r="R709"/>
      <c r="S709"/>
      <c r="T709"/>
      <c r="U709"/>
      <c r="V709"/>
      <c r="W709"/>
    </row>
    <row r="710" spans="1:23" ht="15.4">
      <c r="A710" s="5">
        <v>469</v>
      </c>
      <c r="B710" s="5">
        <v>18469</v>
      </c>
      <c r="C710" s="5" t="s">
        <v>796</v>
      </c>
      <c r="D710" s="5" t="s">
        <v>797</v>
      </c>
      <c r="E710" s="5" t="s">
        <v>25</v>
      </c>
      <c r="F710" s="5" t="s">
        <v>1361</v>
      </c>
      <c r="G710" s="8">
        <v>45575</v>
      </c>
      <c r="H710" s="8" t="str">
        <f t="shared" si="11"/>
        <v>Oct</v>
      </c>
      <c r="I710" s="5">
        <v>5500</v>
      </c>
      <c r="J710" s="5">
        <v>4900</v>
      </c>
      <c r="K710" s="5">
        <f>student_data[[#This Row],[Total Fee]]-student_data[[#This Row],[Deposit Fee]]</f>
        <v>600</v>
      </c>
      <c r="L710" s="5" t="str">
        <f>IF(student_data[[#This Row],[Outstanding Fee]]=0,"Paid",IF(student_data[[#This Row],[Deposit Fee]]=0,"Unpaid","Partially Paid"))</f>
        <v>Partially Paid</v>
      </c>
      <c r="M710" s="5" t="s">
        <v>53</v>
      </c>
      <c r="N710"/>
      <c r="O710"/>
      <c r="P710"/>
      <c r="Q710"/>
      <c r="R710"/>
      <c r="S710"/>
      <c r="T710"/>
      <c r="U710"/>
      <c r="V710"/>
      <c r="W710"/>
    </row>
    <row r="711" spans="1:23" ht="15.4">
      <c r="A711" s="5">
        <v>470</v>
      </c>
      <c r="B711" s="5">
        <v>18470</v>
      </c>
      <c r="C711" s="5" t="s">
        <v>798</v>
      </c>
      <c r="D711" s="5" t="s">
        <v>799</v>
      </c>
      <c r="E711" s="5" t="s">
        <v>9</v>
      </c>
      <c r="F711" s="5" t="s">
        <v>1360</v>
      </c>
      <c r="G711" s="8">
        <v>45575</v>
      </c>
      <c r="H711" s="8" t="str">
        <f t="shared" si="11"/>
        <v>Oct</v>
      </c>
      <c r="I711" s="5">
        <v>4400</v>
      </c>
      <c r="J711" s="5">
        <v>4400</v>
      </c>
      <c r="K711" s="5">
        <f>student_data[[#This Row],[Total Fee]]-student_data[[#This Row],[Deposit Fee]]</f>
        <v>0</v>
      </c>
      <c r="L711" s="5" t="str">
        <f>IF(student_data[[#This Row],[Outstanding Fee]]=0,"Paid",IF(student_data[[#This Row],[Deposit Fee]]=0,"Unpaid","Partially Paid"))</f>
        <v>Paid</v>
      </c>
      <c r="M711" s="5" t="s">
        <v>53</v>
      </c>
      <c r="N711"/>
      <c r="O711"/>
      <c r="P711"/>
      <c r="Q711"/>
      <c r="R711"/>
      <c r="S711"/>
      <c r="T711"/>
      <c r="U711"/>
      <c r="V711"/>
      <c r="W711"/>
    </row>
    <row r="712" spans="1:23" ht="15.4">
      <c r="A712" s="5">
        <v>171</v>
      </c>
      <c r="B712" s="5">
        <v>18171</v>
      </c>
      <c r="C712" s="5" t="s">
        <v>303</v>
      </c>
      <c r="D712" s="5" t="s">
        <v>304</v>
      </c>
      <c r="E712" s="5" t="s">
        <v>25</v>
      </c>
      <c r="F712" s="5" t="s">
        <v>1362</v>
      </c>
      <c r="G712" s="8">
        <v>45576</v>
      </c>
      <c r="H712" s="8" t="str">
        <f t="shared" si="11"/>
        <v>Oct</v>
      </c>
      <c r="I712" s="5">
        <v>3200</v>
      </c>
      <c r="J712" s="5">
        <v>3200</v>
      </c>
      <c r="K712" s="5">
        <f>student_data[[#This Row],[Total Fee]]-student_data[[#This Row],[Deposit Fee]]</f>
        <v>0</v>
      </c>
      <c r="L712" s="5" t="str">
        <f>IF(student_data[[#This Row],[Outstanding Fee]]=0,"Paid",IF(student_data[[#This Row],[Deposit Fee]]=0,"Unpaid","Partially Paid"))</f>
        <v>Paid</v>
      </c>
      <c r="M712" s="5" t="s">
        <v>78</v>
      </c>
      <c r="N712"/>
      <c r="O712"/>
      <c r="P712"/>
      <c r="Q712"/>
      <c r="R712"/>
      <c r="S712"/>
      <c r="T712"/>
      <c r="U712"/>
      <c r="V712"/>
      <c r="W712"/>
    </row>
    <row r="713" spans="1:23" ht="15.4">
      <c r="A713" s="5">
        <v>471</v>
      </c>
      <c r="B713" s="5">
        <v>18471</v>
      </c>
      <c r="C713" s="5" t="s">
        <v>800</v>
      </c>
      <c r="D713" s="5" t="s">
        <v>115</v>
      </c>
      <c r="E713" s="5" t="s">
        <v>25</v>
      </c>
      <c r="F713" s="6" t="s">
        <v>1360</v>
      </c>
      <c r="G713" s="8">
        <v>45576</v>
      </c>
      <c r="H713" s="8" t="str">
        <f t="shared" si="11"/>
        <v>Oct</v>
      </c>
      <c r="I713" s="5">
        <v>4400</v>
      </c>
      <c r="J713" s="5">
        <v>4400</v>
      </c>
      <c r="K713" s="5">
        <f>student_data[[#This Row],[Total Fee]]-student_data[[#This Row],[Deposit Fee]]</f>
        <v>0</v>
      </c>
      <c r="L713" s="5" t="str">
        <f>IF(student_data[[#This Row],[Outstanding Fee]]=0,"Paid",IF(student_data[[#This Row],[Deposit Fee]]=0,"Unpaid","Partially Paid"))</f>
        <v>Paid</v>
      </c>
      <c r="M713" s="5" t="s">
        <v>50</v>
      </c>
      <c r="N713"/>
      <c r="O713"/>
      <c r="P713"/>
      <c r="Q713"/>
      <c r="R713"/>
      <c r="S713"/>
      <c r="T713"/>
      <c r="U713"/>
      <c r="V713"/>
      <c r="W713"/>
    </row>
    <row r="714" spans="1:23" ht="15.4">
      <c r="A714" s="5">
        <v>745</v>
      </c>
      <c r="B714" s="5">
        <v>18745</v>
      </c>
      <c r="C714" s="5" t="s">
        <v>1158</v>
      </c>
      <c r="D714" s="5" t="s">
        <v>203</v>
      </c>
      <c r="E714" s="5" t="s">
        <v>9</v>
      </c>
      <c r="F714" s="6" t="s">
        <v>1361</v>
      </c>
      <c r="G714" s="8">
        <v>45576</v>
      </c>
      <c r="H714" s="8" t="str">
        <f t="shared" si="11"/>
        <v>Oct</v>
      </c>
      <c r="I714" s="5">
        <v>5500</v>
      </c>
      <c r="J714" s="5">
        <v>4900</v>
      </c>
      <c r="K714" s="5">
        <f>student_data[[#This Row],[Total Fee]]-student_data[[#This Row],[Deposit Fee]]</f>
        <v>600</v>
      </c>
      <c r="L714" s="5" t="str">
        <f>IF(student_data[[#This Row],[Outstanding Fee]]=0,"Paid",IF(student_data[[#This Row],[Deposit Fee]]=0,"Unpaid","Partially Paid"))</f>
        <v>Partially Paid</v>
      </c>
      <c r="M714" s="5" t="s">
        <v>53</v>
      </c>
      <c r="N714"/>
      <c r="O714"/>
      <c r="P714"/>
      <c r="Q714"/>
      <c r="R714"/>
      <c r="S714"/>
      <c r="T714"/>
      <c r="U714"/>
      <c r="V714"/>
      <c r="W714"/>
    </row>
    <row r="715" spans="1:23" ht="15.4">
      <c r="A715" s="5">
        <v>472</v>
      </c>
      <c r="B715" s="5">
        <v>18472</v>
      </c>
      <c r="C715" s="5" t="s">
        <v>801</v>
      </c>
      <c r="D715" s="5" t="s">
        <v>151</v>
      </c>
      <c r="E715" s="5" t="s">
        <v>9</v>
      </c>
      <c r="F715" s="6" t="s">
        <v>1360</v>
      </c>
      <c r="G715" s="8">
        <v>45577</v>
      </c>
      <c r="H715" s="8" t="str">
        <f t="shared" si="11"/>
        <v>Oct</v>
      </c>
      <c r="I715" s="5">
        <v>4400</v>
      </c>
      <c r="J715" s="5">
        <v>3800</v>
      </c>
      <c r="K715" s="5">
        <f>student_data[[#This Row],[Total Fee]]-student_data[[#This Row],[Deposit Fee]]</f>
        <v>600</v>
      </c>
      <c r="L715" s="5" t="str">
        <f>IF(student_data[[#This Row],[Outstanding Fee]]=0,"Paid",IF(student_data[[#This Row],[Deposit Fee]]=0,"Unpaid","Partially Paid"))</f>
        <v>Partially Paid</v>
      </c>
      <c r="M715" s="5" t="s">
        <v>13</v>
      </c>
      <c r="N715"/>
      <c r="O715"/>
      <c r="P715"/>
      <c r="Q715"/>
      <c r="R715"/>
      <c r="S715"/>
      <c r="T715"/>
      <c r="U715"/>
      <c r="V715"/>
      <c r="W715"/>
    </row>
    <row r="716" spans="1:23" ht="15.4">
      <c r="A716" s="5">
        <v>473</v>
      </c>
      <c r="B716" s="5">
        <v>18473</v>
      </c>
      <c r="C716" s="5" t="s">
        <v>801</v>
      </c>
      <c r="D716" s="5" t="s">
        <v>802</v>
      </c>
      <c r="E716" s="5" t="s">
        <v>9</v>
      </c>
      <c r="F716" s="6" t="s">
        <v>1361</v>
      </c>
      <c r="G716" s="8">
        <v>45577</v>
      </c>
      <c r="H716" s="8" t="str">
        <f t="shared" si="11"/>
        <v>Oct</v>
      </c>
      <c r="I716" s="5">
        <v>5500</v>
      </c>
      <c r="J716" s="5">
        <v>5500</v>
      </c>
      <c r="K716" s="5">
        <f>student_data[[#This Row],[Total Fee]]-student_data[[#This Row],[Deposit Fee]]</f>
        <v>0</v>
      </c>
      <c r="L716" s="5" t="str">
        <f>IF(student_data[[#This Row],[Outstanding Fee]]=0,"Paid",IF(student_data[[#This Row],[Deposit Fee]]=0,"Unpaid","Partially Paid"))</f>
        <v>Paid</v>
      </c>
      <c r="M716" s="5" t="s">
        <v>66</v>
      </c>
      <c r="N716"/>
      <c r="O716"/>
      <c r="P716"/>
      <c r="Q716"/>
      <c r="R716"/>
      <c r="S716"/>
      <c r="T716"/>
      <c r="U716"/>
      <c r="V716"/>
      <c r="W716"/>
    </row>
    <row r="717" spans="1:23" ht="15.4">
      <c r="A717" s="5">
        <v>474</v>
      </c>
      <c r="B717" s="5">
        <v>18474</v>
      </c>
      <c r="C717" s="5" t="s">
        <v>803</v>
      </c>
      <c r="D717" s="5" t="s">
        <v>684</v>
      </c>
      <c r="E717" s="5" t="s">
        <v>9</v>
      </c>
      <c r="F717" s="5" t="s">
        <v>1363</v>
      </c>
      <c r="G717" s="8">
        <v>45577</v>
      </c>
      <c r="H717" s="8" t="str">
        <f t="shared" si="11"/>
        <v>Oct</v>
      </c>
      <c r="I717" s="5">
        <v>7500</v>
      </c>
      <c r="J717" s="5">
        <v>7500</v>
      </c>
      <c r="K717" s="5">
        <f>student_data[[#This Row],[Total Fee]]-student_data[[#This Row],[Deposit Fee]]</f>
        <v>0</v>
      </c>
      <c r="L717" s="5" t="str">
        <f>IF(student_data[[#This Row],[Outstanding Fee]]=0,"Paid",IF(student_data[[#This Row],[Deposit Fee]]=0,"Unpaid","Partially Paid"))</f>
        <v>Paid</v>
      </c>
      <c r="M717" s="5" t="s">
        <v>22</v>
      </c>
      <c r="N717"/>
      <c r="O717"/>
      <c r="P717"/>
      <c r="Q717"/>
      <c r="R717"/>
      <c r="S717"/>
      <c r="T717"/>
      <c r="U717"/>
      <c r="V717"/>
      <c r="W717"/>
    </row>
    <row r="718" spans="1:23" ht="15.4">
      <c r="A718" s="5">
        <v>475</v>
      </c>
      <c r="B718" s="5">
        <v>18475</v>
      </c>
      <c r="C718" s="5" t="s">
        <v>804</v>
      </c>
      <c r="D718" s="5" t="s">
        <v>805</v>
      </c>
      <c r="E718" s="5" t="s">
        <v>9</v>
      </c>
      <c r="F718" s="6" t="s">
        <v>1361</v>
      </c>
      <c r="G718" s="8">
        <v>45579</v>
      </c>
      <c r="H718" s="8" t="str">
        <f t="shared" si="11"/>
        <v>Oct</v>
      </c>
      <c r="I718" s="5">
        <v>5500</v>
      </c>
      <c r="J718" s="5">
        <v>5500</v>
      </c>
      <c r="K718" s="5">
        <f>student_data[[#This Row],[Total Fee]]-student_data[[#This Row],[Deposit Fee]]</f>
        <v>0</v>
      </c>
      <c r="L718" s="5" t="str">
        <f>IF(student_data[[#This Row],[Outstanding Fee]]=0,"Paid",IF(student_data[[#This Row],[Deposit Fee]]=0,"Unpaid","Partially Paid"))</f>
        <v>Paid</v>
      </c>
      <c r="M718" s="5" t="s">
        <v>26</v>
      </c>
      <c r="N718"/>
      <c r="O718"/>
      <c r="P718"/>
      <c r="Q718"/>
      <c r="R718"/>
      <c r="S718"/>
      <c r="T718"/>
      <c r="U718"/>
      <c r="V718"/>
      <c r="W718"/>
    </row>
    <row r="719" spans="1:23" ht="15.4">
      <c r="A719" s="5">
        <v>746</v>
      </c>
      <c r="B719" s="5">
        <v>18746</v>
      </c>
      <c r="C719" s="5" t="s">
        <v>989</v>
      </c>
      <c r="D719" s="5" t="s">
        <v>1159</v>
      </c>
      <c r="E719" s="5" t="s">
        <v>25</v>
      </c>
      <c r="F719" s="6" t="s">
        <v>1361</v>
      </c>
      <c r="G719" s="8">
        <v>45579</v>
      </c>
      <c r="H719" s="8" t="str">
        <f t="shared" si="11"/>
        <v>Oct</v>
      </c>
      <c r="I719" s="5">
        <v>5500</v>
      </c>
      <c r="J719" s="5">
        <v>800</v>
      </c>
      <c r="K719" s="5">
        <f>student_data[[#This Row],[Total Fee]]-student_data[[#This Row],[Deposit Fee]]</f>
        <v>4700</v>
      </c>
      <c r="L719" s="5" t="str">
        <f>IF(student_data[[#This Row],[Outstanding Fee]]=0,"Paid",IF(student_data[[#This Row],[Deposit Fee]]=0,"Unpaid","Partially Paid"))</f>
        <v>Partially Paid</v>
      </c>
      <c r="M719" s="5" t="s">
        <v>53</v>
      </c>
      <c r="N719"/>
      <c r="O719"/>
      <c r="P719"/>
      <c r="Q719"/>
      <c r="R719"/>
      <c r="S719"/>
      <c r="T719"/>
      <c r="U719"/>
      <c r="V719"/>
      <c r="W719"/>
    </row>
    <row r="720" spans="1:23" ht="15.4">
      <c r="A720" s="5">
        <v>476</v>
      </c>
      <c r="B720" s="5">
        <v>18476</v>
      </c>
      <c r="C720" s="5" t="s">
        <v>806</v>
      </c>
      <c r="D720" s="5" t="s">
        <v>807</v>
      </c>
      <c r="E720" s="5" t="s">
        <v>25</v>
      </c>
      <c r="F720" s="5" t="s">
        <v>1361</v>
      </c>
      <c r="G720" s="8">
        <v>45580</v>
      </c>
      <c r="H720" s="8" t="str">
        <f t="shared" si="11"/>
        <v>Oct</v>
      </c>
      <c r="I720" s="5">
        <v>5500</v>
      </c>
      <c r="J720" s="5">
        <v>5100</v>
      </c>
      <c r="K720" s="5">
        <f>student_data[[#This Row],[Total Fee]]-student_data[[#This Row],[Deposit Fee]]</f>
        <v>400</v>
      </c>
      <c r="L720" s="5" t="str">
        <f>IF(student_data[[#This Row],[Outstanding Fee]]=0,"Paid",IF(student_data[[#This Row],[Deposit Fee]]=0,"Unpaid","Partially Paid"))</f>
        <v>Partially Paid</v>
      </c>
      <c r="M720" s="5" t="s">
        <v>26</v>
      </c>
      <c r="N720"/>
      <c r="O720"/>
      <c r="P720"/>
      <c r="Q720"/>
      <c r="R720"/>
      <c r="S720"/>
      <c r="T720"/>
      <c r="U720"/>
      <c r="V720"/>
      <c r="W720"/>
    </row>
    <row r="721" spans="1:23" ht="15.4">
      <c r="A721" s="5">
        <v>747</v>
      </c>
      <c r="B721" s="5">
        <v>18747</v>
      </c>
      <c r="C721" s="5" t="s">
        <v>991</v>
      </c>
      <c r="D721" s="5" t="s">
        <v>561</v>
      </c>
      <c r="E721" s="5" t="s">
        <v>25</v>
      </c>
      <c r="F721" s="6" t="s">
        <v>1361</v>
      </c>
      <c r="G721" s="8">
        <v>45580</v>
      </c>
      <c r="H721" s="8" t="str">
        <f t="shared" si="11"/>
        <v>Oct</v>
      </c>
      <c r="I721" s="5">
        <v>5500</v>
      </c>
      <c r="J721" s="5">
        <v>5100</v>
      </c>
      <c r="K721" s="5">
        <f>student_data[[#This Row],[Total Fee]]-student_data[[#This Row],[Deposit Fee]]</f>
        <v>400</v>
      </c>
      <c r="L721" s="5" t="str">
        <f>IF(student_data[[#This Row],[Outstanding Fee]]=0,"Paid",IF(student_data[[#This Row],[Deposit Fee]]=0,"Unpaid","Partially Paid"))</f>
        <v>Partially Paid</v>
      </c>
      <c r="M721" s="5" t="s">
        <v>50</v>
      </c>
      <c r="N721"/>
      <c r="O721"/>
      <c r="P721"/>
      <c r="Q721"/>
      <c r="R721"/>
      <c r="S721"/>
      <c r="T721"/>
      <c r="U721"/>
      <c r="V721"/>
      <c r="W721"/>
    </row>
    <row r="722" spans="1:23" ht="15.4">
      <c r="A722" s="5">
        <v>767</v>
      </c>
      <c r="B722" s="5">
        <v>18767</v>
      </c>
      <c r="C722" s="5" t="s">
        <v>1188</v>
      </c>
      <c r="D722" s="5" t="s">
        <v>129</v>
      </c>
      <c r="E722" s="5" t="s">
        <v>9</v>
      </c>
      <c r="F722" s="6" t="s">
        <v>1361</v>
      </c>
      <c r="G722" s="8">
        <v>45580</v>
      </c>
      <c r="H722" s="8" t="str">
        <f t="shared" si="11"/>
        <v>Oct</v>
      </c>
      <c r="I722" s="5">
        <v>5500</v>
      </c>
      <c r="J722" s="5">
        <v>4900</v>
      </c>
      <c r="K722" s="5">
        <f>student_data[[#This Row],[Total Fee]]-student_data[[#This Row],[Deposit Fee]]</f>
        <v>600</v>
      </c>
      <c r="L722" s="5" t="str">
        <f>IF(student_data[[#This Row],[Outstanding Fee]]=0,"Paid",IF(student_data[[#This Row],[Deposit Fee]]=0,"Unpaid","Partially Paid"))</f>
        <v>Partially Paid</v>
      </c>
      <c r="M722" s="5" t="s">
        <v>13</v>
      </c>
      <c r="N722"/>
      <c r="O722"/>
      <c r="P722"/>
      <c r="Q722"/>
      <c r="R722"/>
      <c r="S722"/>
      <c r="T722"/>
      <c r="U722"/>
      <c r="V722"/>
      <c r="W722"/>
    </row>
    <row r="723" spans="1:23" ht="15.4">
      <c r="A723" s="5">
        <v>477</v>
      </c>
      <c r="B723" s="5">
        <v>18477</v>
      </c>
      <c r="C723" s="5" t="s">
        <v>808</v>
      </c>
      <c r="D723" s="5" t="s">
        <v>809</v>
      </c>
      <c r="E723" s="5" t="s">
        <v>9</v>
      </c>
      <c r="F723" s="6" t="s">
        <v>1361</v>
      </c>
      <c r="G723" s="8">
        <v>45581</v>
      </c>
      <c r="H723" s="8" t="str">
        <f t="shared" si="11"/>
        <v>Oct</v>
      </c>
      <c r="I723" s="5">
        <v>5500</v>
      </c>
      <c r="J723" s="5">
        <v>5500</v>
      </c>
      <c r="K723" s="5">
        <f>student_data[[#This Row],[Total Fee]]-student_data[[#This Row],[Deposit Fee]]</f>
        <v>0</v>
      </c>
      <c r="L723" s="5" t="str">
        <f>IF(student_data[[#This Row],[Outstanding Fee]]=0,"Paid",IF(student_data[[#This Row],[Deposit Fee]]=0,"Unpaid","Partially Paid"))</f>
        <v>Paid</v>
      </c>
      <c r="M723" s="5" t="s">
        <v>75</v>
      </c>
      <c r="N723"/>
      <c r="O723"/>
      <c r="P723"/>
      <c r="Q723"/>
      <c r="R723"/>
      <c r="S723"/>
      <c r="T723"/>
      <c r="U723"/>
      <c r="V723"/>
      <c r="W723"/>
    </row>
    <row r="724" spans="1:23" ht="15.4">
      <c r="A724" s="5">
        <v>768</v>
      </c>
      <c r="B724" s="5">
        <v>18768</v>
      </c>
      <c r="C724" s="5" t="s">
        <v>1189</v>
      </c>
      <c r="D724" s="5" t="s">
        <v>1190</v>
      </c>
      <c r="E724" s="5" t="s">
        <v>9</v>
      </c>
      <c r="F724" s="5" t="s">
        <v>1361</v>
      </c>
      <c r="G724" s="8">
        <v>45581</v>
      </c>
      <c r="H724" s="8" t="str">
        <f t="shared" si="11"/>
        <v>Oct</v>
      </c>
      <c r="I724" s="5">
        <v>5500</v>
      </c>
      <c r="J724" s="5">
        <v>5500</v>
      </c>
      <c r="K724" s="5">
        <f>student_data[[#This Row],[Total Fee]]-student_data[[#This Row],[Deposit Fee]]</f>
        <v>0</v>
      </c>
      <c r="L724" s="5" t="str">
        <f>IF(student_data[[#This Row],[Outstanding Fee]]=0,"Paid",IF(student_data[[#This Row],[Deposit Fee]]=0,"Unpaid","Partially Paid"))</f>
        <v>Paid</v>
      </c>
      <c r="M724" s="5" t="s">
        <v>38</v>
      </c>
      <c r="N724"/>
      <c r="O724"/>
      <c r="P724"/>
      <c r="Q724"/>
      <c r="R724"/>
      <c r="S724"/>
      <c r="T724"/>
      <c r="U724"/>
      <c r="V724"/>
      <c r="W724"/>
    </row>
    <row r="725" spans="1:23" ht="15.4">
      <c r="A725" s="5">
        <v>769</v>
      </c>
      <c r="B725" s="5">
        <v>18769</v>
      </c>
      <c r="C725" s="5" t="s">
        <v>1191</v>
      </c>
      <c r="D725" s="5" t="s">
        <v>1192</v>
      </c>
      <c r="E725" s="5" t="s">
        <v>9</v>
      </c>
      <c r="F725" s="6" t="s">
        <v>1361</v>
      </c>
      <c r="G725" s="8">
        <v>45581</v>
      </c>
      <c r="H725" s="8" t="str">
        <f t="shared" si="11"/>
        <v>Oct</v>
      </c>
      <c r="I725" s="5">
        <v>5500</v>
      </c>
      <c r="J725" s="5">
        <v>4900</v>
      </c>
      <c r="K725" s="5">
        <f>student_data[[#This Row],[Total Fee]]-student_data[[#This Row],[Deposit Fee]]</f>
        <v>600</v>
      </c>
      <c r="L725" s="5" t="str">
        <f>IF(student_data[[#This Row],[Outstanding Fee]]=0,"Paid",IF(student_data[[#This Row],[Deposit Fee]]=0,"Unpaid","Partially Paid"))</f>
        <v>Partially Paid</v>
      </c>
      <c r="M725" s="5" t="s">
        <v>78</v>
      </c>
      <c r="N725"/>
      <c r="O725"/>
      <c r="P725"/>
      <c r="Q725"/>
      <c r="R725"/>
      <c r="S725"/>
      <c r="T725"/>
      <c r="U725"/>
      <c r="V725"/>
      <c r="W725"/>
    </row>
    <row r="726" spans="1:23" ht="15.4">
      <c r="A726" s="5">
        <v>478</v>
      </c>
      <c r="B726" s="5">
        <v>18478</v>
      </c>
      <c r="C726" s="5" t="s">
        <v>808</v>
      </c>
      <c r="D726" s="5" t="s">
        <v>810</v>
      </c>
      <c r="E726" s="5" t="s">
        <v>9</v>
      </c>
      <c r="F726" s="6" t="s">
        <v>1360</v>
      </c>
      <c r="G726" s="8">
        <v>45582</v>
      </c>
      <c r="H726" s="8" t="str">
        <f t="shared" si="11"/>
        <v>Oct</v>
      </c>
      <c r="I726" s="5">
        <v>4400</v>
      </c>
      <c r="J726" s="5">
        <v>3800</v>
      </c>
      <c r="K726" s="5">
        <f>student_data[[#This Row],[Total Fee]]-student_data[[#This Row],[Deposit Fee]]</f>
        <v>600</v>
      </c>
      <c r="L726" s="5" t="str">
        <f>IF(student_data[[#This Row],[Outstanding Fee]]=0,"Paid",IF(student_data[[#This Row],[Deposit Fee]]=0,"Unpaid","Partially Paid"))</f>
        <v>Partially Paid</v>
      </c>
      <c r="M726" s="5" t="s">
        <v>78</v>
      </c>
      <c r="N726"/>
      <c r="O726"/>
      <c r="P726"/>
      <c r="Q726"/>
      <c r="R726"/>
      <c r="S726"/>
      <c r="T726"/>
      <c r="U726"/>
      <c r="V726"/>
      <c r="W726"/>
    </row>
    <row r="727" spans="1:23" ht="15.4">
      <c r="A727" s="5">
        <v>479</v>
      </c>
      <c r="B727" s="5">
        <v>18479</v>
      </c>
      <c r="C727" s="5" t="s">
        <v>811</v>
      </c>
      <c r="D727" s="5" t="s">
        <v>812</v>
      </c>
      <c r="E727" s="5" t="s">
        <v>25</v>
      </c>
      <c r="F727" s="6" t="s">
        <v>1360</v>
      </c>
      <c r="G727" s="8">
        <v>45582</v>
      </c>
      <c r="H727" s="8" t="str">
        <f t="shared" si="11"/>
        <v>Oct</v>
      </c>
      <c r="I727" s="5">
        <v>4400</v>
      </c>
      <c r="J727" s="5">
        <v>4400</v>
      </c>
      <c r="K727" s="5">
        <f>student_data[[#This Row],[Total Fee]]-student_data[[#This Row],[Deposit Fee]]</f>
        <v>0</v>
      </c>
      <c r="L727" s="5" t="str">
        <f>IF(student_data[[#This Row],[Outstanding Fee]]=0,"Paid",IF(student_data[[#This Row],[Deposit Fee]]=0,"Unpaid","Partially Paid"))</f>
        <v>Paid</v>
      </c>
      <c r="M727" s="5" t="s">
        <v>16</v>
      </c>
      <c r="N727"/>
      <c r="O727"/>
      <c r="P727"/>
      <c r="Q727"/>
      <c r="R727"/>
      <c r="S727"/>
      <c r="T727"/>
      <c r="U727"/>
      <c r="V727"/>
      <c r="W727"/>
    </row>
    <row r="728" spans="1:23" ht="15.4">
      <c r="A728" s="5">
        <v>770</v>
      </c>
      <c r="B728" s="5">
        <v>18770</v>
      </c>
      <c r="C728" s="5" t="s">
        <v>1193</v>
      </c>
      <c r="D728" s="5" t="s">
        <v>552</v>
      </c>
      <c r="E728" s="5" t="s">
        <v>25</v>
      </c>
      <c r="F728" s="5" t="s">
        <v>1364</v>
      </c>
      <c r="G728" s="8">
        <v>45582</v>
      </c>
      <c r="H728" s="8" t="str">
        <f t="shared" si="11"/>
        <v>Oct</v>
      </c>
      <c r="I728" s="5">
        <v>1800</v>
      </c>
      <c r="J728" s="5">
        <v>1200</v>
      </c>
      <c r="K728" s="5">
        <f>student_data[[#This Row],[Total Fee]]-student_data[[#This Row],[Deposit Fee]]</f>
        <v>600</v>
      </c>
      <c r="L728" s="5" t="str">
        <f>IF(student_data[[#This Row],[Outstanding Fee]]=0,"Paid",IF(student_data[[#This Row],[Deposit Fee]]=0,"Unpaid","Partially Paid"))</f>
        <v>Partially Paid</v>
      </c>
      <c r="M728" s="5" t="s">
        <v>16</v>
      </c>
      <c r="N728"/>
      <c r="O728"/>
      <c r="P728"/>
      <c r="Q728"/>
      <c r="R728"/>
      <c r="S728"/>
      <c r="T728"/>
      <c r="U728"/>
      <c r="V728"/>
      <c r="W728"/>
    </row>
    <row r="729" spans="1:23" ht="15.4">
      <c r="A729" s="5">
        <v>61</v>
      </c>
      <c r="B729" s="5">
        <v>18061</v>
      </c>
      <c r="C729" s="5" t="s">
        <v>126</v>
      </c>
      <c r="D729" s="5" t="s">
        <v>127</v>
      </c>
      <c r="E729" s="5" t="s">
        <v>25</v>
      </c>
      <c r="F729" s="6" t="s">
        <v>1361</v>
      </c>
      <c r="G729" s="8">
        <v>45583</v>
      </c>
      <c r="H729" s="8" t="str">
        <f t="shared" si="11"/>
        <v>Oct</v>
      </c>
      <c r="I729" s="5">
        <v>5500</v>
      </c>
      <c r="J729" s="5">
        <v>5500</v>
      </c>
      <c r="K729" s="5">
        <f>student_data[[#This Row],[Total Fee]]-student_data[[#This Row],[Deposit Fee]]</f>
        <v>0</v>
      </c>
      <c r="L729" s="5" t="str">
        <f>IF(student_data[[#This Row],[Outstanding Fee]]=0,"Paid",IF(student_data[[#This Row],[Deposit Fee]]=0,"Unpaid","Partially Paid"))</f>
        <v>Paid</v>
      </c>
      <c r="M729" s="5" t="s">
        <v>19</v>
      </c>
      <c r="N729"/>
      <c r="O729"/>
      <c r="P729"/>
      <c r="Q729"/>
      <c r="R729"/>
      <c r="S729"/>
      <c r="T729"/>
      <c r="U729"/>
      <c r="V729"/>
      <c r="W729"/>
    </row>
    <row r="730" spans="1:23" ht="15.4">
      <c r="A730" s="5">
        <v>480</v>
      </c>
      <c r="B730" s="5">
        <v>18480</v>
      </c>
      <c r="C730" s="5" t="s">
        <v>813</v>
      </c>
      <c r="D730" s="5" t="s">
        <v>814</v>
      </c>
      <c r="E730" s="5" t="s">
        <v>9</v>
      </c>
      <c r="F730" s="6" t="s">
        <v>1360</v>
      </c>
      <c r="G730" s="8">
        <v>45583</v>
      </c>
      <c r="H730" s="8" t="str">
        <f t="shared" si="11"/>
        <v>Oct</v>
      </c>
      <c r="I730" s="5">
        <v>4400</v>
      </c>
      <c r="J730" s="5">
        <v>4400</v>
      </c>
      <c r="K730" s="5">
        <f>student_data[[#This Row],[Total Fee]]-student_data[[#This Row],[Deposit Fee]]</f>
        <v>0</v>
      </c>
      <c r="L730" s="5" t="str">
        <f>IF(student_data[[#This Row],[Outstanding Fee]]=0,"Paid",IF(student_data[[#This Row],[Deposit Fee]]=0,"Unpaid","Partially Paid"))</f>
        <v>Paid</v>
      </c>
      <c r="M730" s="5" t="s">
        <v>66</v>
      </c>
      <c r="N730"/>
      <c r="O730"/>
      <c r="P730"/>
      <c r="Q730"/>
      <c r="R730"/>
      <c r="S730"/>
      <c r="T730"/>
      <c r="U730"/>
      <c r="V730"/>
      <c r="W730"/>
    </row>
    <row r="731" spans="1:23" ht="15.4">
      <c r="A731" s="5">
        <v>771</v>
      </c>
      <c r="B731" s="5">
        <v>18771</v>
      </c>
      <c r="C731" s="5" t="s">
        <v>1194</v>
      </c>
      <c r="D731" s="5" t="s">
        <v>1195</v>
      </c>
      <c r="E731" s="5" t="s">
        <v>9</v>
      </c>
      <c r="F731" s="6" t="s">
        <v>1361</v>
      </c>
      <c r="G731" s="8">
        <v>45583</v>
      </c>
      <c r="H731" s="8" t="str">
        <f t="shared" si="11"/>
        <v>Oct</v>
      </c>
      <c r="I731" s="5">
        <v>5500</v>
      </c>
      <c r="J731" s="5">
        <v>4900</v>
      </c>
      <c r="K731" s="5">
        <f>student_data[[#This Row],[Total Fee]]-student_data[[#This Row],[Deposit Fee]]</f>
        <v>600</v>
      </c>
      <c r="L731" s="5" t="str">
        <f>IF(student_data[[#This Row],[Outstanding Fee]]=0,"Paid",IF(student_data[[#This Row],[Deposit Fee]]=0,"Unpaid","Partially Paid"))</f>
        <v>Partially Paid</v>
      </c>
      <c r="M731" s="5" t="s">
        <v>19</v>
      </c>
      <c r="N731"/>
      <c r="O731"/>
      <c r="P731"/>
      <c r="Q731"/>
      <c r="R731"/>
      <c r="S731"/>
      <c r="T731"/>
      <c r="U731"/>
      <c r="V731"/>
      <c r="W731"/>
    </row>
    <row r="732" spans="1:23" ht="15.4">
      <c r="A732" s="5">
        <v>481</v>
      </c>
      <c r="B732" s="5">
        <v>18481</v>
      </c>
      <c r="C732" s="5" t="s">
        <v>815</v>
      </c>
      <c r="D732" s="5" t="s">
        <v>155</v>
      </c>
      <c r="E732" s="5" t="s">
        <v>9</v>
      </c>
      <c r="F732" s="6" t="s">
        <v>1361</v>
      </c>
      <c r="G732" s="8">
        <v>45584</v>
      </c>
      <c r="H732" s="8" t="str">
        <f t="shared" si="11"/>
        <v>Oct</v>
      </c>
      <c r="I732" s="5">
        <v>5500</v>
      </c>
      <c r="J732" s="5">
        <v>5500</v>
      </c>
      <c r="K732" s="5">
        <f>student_data[[#This Row],[Total Fee]]-student_data[[#This Row],[Deposit Fee]]</f>
        <v>0</v>
      </c>
      <c r="L732" s="5" t="str">
        <f>IF(student_data[[#This Row],[Outstanding Fee]]=0,"Paid",IF(student_data[[#This Row],[Deposit Fee]]=0,"Unpaid","Partially Paid"))</f>
        <v>Paid</v>
      </c>
      <c r="M732" s="5" t="s">
        <v>66</v>
      </c>
      <c r="N732"/>
      <c r="O732"/>
      <c r="P732"/>
      <c r="Q732"/>
      <c r="R732"/>
      <c r="S732"/>
      <c r="T732"/>
      <c r="U732"/>
      <c r="V732"/>
      <c r="W732"/>
    </row>
    <row r="733" spans="1:23" ht="15.4">
      <c r="A733" s="5">
        <v>482</v>
      </c>
      <c r="B733" s="5">
        <v>18482</v>
      </c>
      <c r="C733" s="5" t="s">
        <v>815</v>
      </c>
      <c r="D733" s="5" t="s">
        <v>129</v>
      </c>
      <c r="E733" s="5" t="s">
        <v>9</v>
      </c>
      <c r="F733" s="6" t="s">
        <v>1360</v>
      </c>
      <c r="G733" s="8">
        <v>45584</v>
      </c>
      <c r="H733" s="8" t="str">
        <f t="shared" si="11"/>
        <v>Oct</v>
      </c>
      <c r="I733" s="5">
        <v>4400</v>
      </c>
      <c r="J733" s="5">
        <v>4400</v>
      </c>
      <c r="K733" s="5">
        <f>student_data[[#This Row],[Total Fee]]-student_data[[#This Row],[Deposit Fee]]</f>
        <v>0</v>
      </c>
      <c r="L733" s="5" t="str">
        <f>IF(student_data[[#This Row],[Outstanding Fee]]=0,"Paid",IF(student_data[[#This Row],[Deposit Fee]]=0,"Unpaid","Partially Paid"))</f>
        <v>Paid</v>
      </c>
      <c r="M733" s="5" t="s">
        <v>32</v>
      </c>
      <c r="N733"/>
      <c r="O733"/>
      <c r="P733"/>
      <c r="Q733"/>
      <c r="R733"/>
      <c r="S733"/>
      <c r="T733"/>
      <c r="U733"/>
      <c r="V733"/>
      <c r="W733"/>
    </row>
    <row r="734" spans="1:23" ht="15.4">
      <c r="A734" s="5">
        <v>699</v>
      </c>
      <c r="B734" s="5">
        <v>18699</v>
      </c>
      <c r="C734" s="5" t="s">
        <v>277</v>
      </c>
      <c r="D734" s="5" t="s">
        <v>838</v>
      </c>
      <c r="E734" s="5" t="s">
        <v>9</v>
      </c>
      <c r="F734" s="6" t="s">
        <v>1361</v>
      </c>
      <c r="G734" s="8">
        <v>45584</v>
      </c>
      <c r="H734" s="8" t="str">
        <f t="shared" si="11"/>
        <v>Oct</v>
      </c>
      <c r="I734" s="5">
        <v>5500</v>
      </c>
      <c r="J734" s="5">
        <v>500</v>
      </c>
      <c r="K734" s="5">
        <f>student_data[[#This Row],[Total Fee]]-student_data[[#This Row],[Deposit Fee]]</f>
        <v>5000</v>
      </c>
      <c r="L734" s="5" t="str">
        <f>IF(student_data[[#This Row],[Outstanding Fee]]=0,"Paid",IF(student_data[[#This Row],[Deposit Fee]]=0,"Unpaid","Partially Paid"))</f>
        <v>Partially Paid</v>
      </c>
      <c r="M734" s="5" t="s">
        <v>22</v>
      </c>
      <c r="N734"/>
      <c r="O734"/>
      <c r="P734"/>
      <c r="Q734"/>
      <c r="R734"/>
      <c r="S734"/>
      <c r="T734"/>
      <c r="U734"/>
      <c r="V734"/>
      <c r="W734"/>
    </row>
    <row r="735" spans="1:23" ht="15.4">
      <c r="A735" s="5">
        <v>483</v>
      </c>
      <c r="B735" s="5">
        <v>18483</v>
      </c>
      <c r="C735" s="5" t="s">
        <v>816</v>
      </c>
      <c r="D735" s="5" t="s">
        <v>817</v>
      </c>
      <c r="E735" s="5" t="s">
        <v>25</v>
      </c>
      <c r="F735" s="6" t="s">
        <v>1360</v>
      </c>
      <c r="G735" s="8">
        <v>45586</v>
      </c>
      <c r="H735" s="8" t="str">
        <f t="shared" si="11"/>
        <v>Oct</v>
      </c>
      <c r="I735" s="5">
        <v>4400</v>
      </c>
      <c r="J735" s="5">
        <v>4000</v>
      </c>
      <c r="K735" s="5">
        <f>student_data[[#This Row],[Total Fee]]-student_data[[#This Row],[Deposit Fee]]</f>
        <v>400</v>
      </c>
      <c r="L735" s="5" t="str">
        <f>IF(student_data[[#This Row],[Outstanding Fee]]=0,"Paid",IF(student_data[[#This Row],[Deposit Fee]]=0,"Unpaid","Partially Paid"))</f>
        <v>Partially Paid</v>
      </c>
      <c r="M735" s="5" t="s">
        <v>32</v>
      </c>
      <c r="N735"/>
      <c r="O735"/>
      <c r="P735"/>
      <c r="Q735"/>
      <c r="R735"/>
      <c r="S735"/>
      <c r="T735"/>
      <c r="U735"/>
      <c r="V735"/>
      <c r="W735"/>
    </row>
    <row r="736" spans="1:23" ht="15.4">
      <c r="A736" s="5">
        <v>484</v>
      </c>
      <c r="B736" s="5">
        <v>18484</v>
      </c>
      <c r="C736" s="5" t="s">
        <v>818</v>
      </c>
      <c r="D736" s="5" t="s">
        <v>819</v>
      </c>
      <c r="E736" s="5" t="s">
        <v>25</v>
      </c>
      <c r="F736" s="6" t="s">
        <v>1360</v>
      </c>
      <c r="G736" s="8">
        <v>45586</v>
      </c>
      <c r="H736" s="8" t="str">
        <f t="shared" si="11"/>
        <v>Oct</v>
      </c>
      <c r="I736" s="5">
        <v>4400</v>
      </c>
      <c r="J736" s="5">
        <v>4000</v>
      </c>
      <c r="K736" s="5">
        <f>student_data[[#This Row],[Total Fee]]-student_data[[#This Row],[Deposit Fee]]</f>
        <v>400</v>
      </c>
      <c r="L736" s="5" t="str">
        <f>IF(student_data[[#This Row],[Outstanding Fee]]=0,"Paid",IF(student_data[[#This Row],[Deposit Fee]]=0,"Unpaid","Partially Paid"))</f>
        <v>Partially Paid</v>
      </c>
      <c r="M736" s="5" t="s">
        <v>89</v>
      </c>
      <c r="N736"/>
      <c r="O736"/>
      <c r="P736"/>
      <c r="Q736"/>
      <c r="R736"/>
      <c r="S736"/>
      <c r="T736"/>
      <c r="U736"/>
      <c r="V736"/>
      <c r="W736"/>
    </row>
    <row r="737" spans="1:23" ht="15.4">
      <c r="A737" s="5">
        <v>865</v>
      </c>
      <c r="B737" s="5">
        <v>18865</v>
      </c>
      <c r="C737" s="5" t="s">
        <v>195</v>
      </c>
      <c r="D737" s="5" t="s">
        <v>570</v>
      </c>
      <c r="E737" s="5" t="s">
        <v>25</v>
      </c>
      <c r="F737" s="6" t="s">
        <v>1361</v>
      </c>
      <c r="G737" s="8">
        <v>45586</v>
      </c>
      <c r="H737" s="8" t="str">
        <f t="shared" si="11"/>
        <v>Oct</v>
      </c>
      <c r="I737" s="5">
        <v>5500</v>
      </c>
      <c r="J737" s="5">
        <v>5500</v>
      </c>
      <c r="K737" s="5">
        <f>student_data[[#This Row],[Total Fee]]-student_data[[#This Row],[Deposit Fee]]</f>
        <v>0</v>
      </c>
      <c r="L737" s="5" t="str">
        <f>IF(student_data[[#This Row],[Outstanding Fee]]=0,"Paid",IF(student_data[[#This Row],[Deposit Fee]]=0,"Unpaid","Partially Paid"))</f>
        <v>Paid</v>
      </c>
      <c r="M737" s="5" t="s">
        <v>10</v>
      </c>
      <c r="N737"/>
      <c r="O737"/>
      <c r="P737"/>
      <c r="Q737"/>
      <c r="R737"/>
      <c r="S737"/>
      <c r="T737"/>
      <c r="U737"/>
      <c r="V737"/>
      <c r="W737"/>
    </row>
    <row r="738" spans="1:23" ht="15.4">
      <c r="A738" s="5">
        <v>653</v>
      </c>
      <c r="B738" s="5">
        <v>18653</v>
      </c>
      <c r="C738" s="5" t="s">
        <v>64</v>
      </c>
      <c r="D738" s="5" t="s">
        <v>359</v>
      </c>
      <c r="E738" s="5" t="s">
        <v>9</v>
      </c>
      <c r="F738" s="5" t="s">
        <v>1363</v>
      </c>
      <c r="G738" s="8">
        <v>45587</v>
      </c>
      <c r="H738" s="8" t="str">
        <f t="shared" si="11"/>
        <v>Oct</v>
      </c>
      <c r="I738" s="5">
        <v>7500</v>
      </c>
      <c r="J738" s="5">
        <v>7500</v>
      </c>
      <c r="K738" s="5">
        <f>student_data[[#This Row],[Total Fee]]-student_data[[#This Row],[Deposit Fee]]</f>
        <v>0</v>
      </c>
      <c r="L738" s="5" t="str">
        <f>IF(student_data[[#This Row],[Outstanding Fee]]=0,"Paid",IF(student_data[[#This Row],[Deposit Fee]]=0,"Unpaid","Partially Paid"))</f>
        <v>Paid</v>
      </c>
      <c r="M738" s="5" t="s">
        <v>19</v>
      </c>
      <c r="N738"/>
      <c r="O738"/>
      <c r="P738"/>
      <c r="Q738"/>
      <c r="R738"/>
      <c r="S738"/>
      <c r="T738"/>
      <c r="U738"/>
      <c r="V738"/>
      <c r="W738"/>
    </row>
    <row r="739" spans="1:23" ht="15.4">
      <c r="A739" s="5">
        <v>700</v>
      </c>
      <c r="B739" s="5">
        <v>18700</v>
      </c>
      <c r="C739" s="5" t="s">
        <v>1094</v>
      </c>
      <c r="D739" s="5" t="s">
        <v>1095</v>
      </c>
      <c r="E739" s="5" t="s">
        <v>9</v>
      </c>
      <c r="F739" s="6" t="s">
        <v>1360</v>
      </c>
      <c r="G739" s="8">
        <v>45587</v>
      </c>
      <c r="H739" s="8" t="str">
        <f t="shared" si="11"/>
        <v>Oct</v>
      </c>
      <c r="I739" s="5">
        <v>4400</v>
      </c>
      <c r="J739" s="5">
        <v>3800</v>
      </c>
      <c r="K739" s="5">
        <f>student_data[[#This Row],[Total Fee]]-student_data[[#This Row],[Deposit Fee]]</f>
        <v>600</v>
      </c>
      <c r="L739" s="5" t="str">
        <f>IF(student_data[[#This Row],[Outstanding Fee]]=0,"Paid",IF(student_data[[#This Row],[Deposit Fee]]=0,"Unpaid","Partially Paid"))</f>
        <v>Partially Paid</v>
      </c>
      <c r="M739" s="5" t="s">
        <v>26</v>
      </c>
      <c r="N739"/>
      <c r="O739"/>
      <c r="P739"/>
      <c r="Q739"/>
      <c r="R739"/>
      <c r="S739"/>
      <c r="T739"/>
      <c r="U739"/>
      <c r="V739"/>
      <c r="W739"/>
    </row>
    <row r="740" spans="1:23" ht="15.4">
      <c r="A740" s="5">
        <v>866</v>
      </c>
      <c r="B740" s="5">
        <v>18866</v>
      </c>
      <c r="C740" s="5" t="s">
        <v>1296</v>
      </c>
      <c r="D740" s="5" t="s">
        <v>1297</v>
      </c>
      <c r="E740" s="5" t="s">
        <v>9</v>
      </c>
      <c r="F740" s="6" t="s">
        <v>1361</v>
      </c>
      <c r="G740" s="8">
        <v>45587</v>
      </c>
      <c r="H740" s="8" t="str">
        <f t="shared" si="11"/>
        <v>Oct</v>
      </c>
      <c r="I740" s="5">
        <v>5500</v>
      </c>
      <c r="J740" s="5">
        <v>5500</v>
      </c>
      <c r="K740" s="5">
        <f>student_data[[#This Row],[Total Fee]]-student_data[[#This Row],[Deposit Fee]]</f>
        <v>0</v>
      </c>
      <c r="L740" s="5" t="str">
        <f>IF(student_data[[#This Row],[Outstanding Fee]]=0,"Paid",IF(student_data[[#This Row],[Deposit Fee]]=0,"Unpaid","Partially Paid"))</f>
        <v>Paid</v>
      </c>
      <c r="M740" s="5" t="s">
        <v>13</v>
      </c>
      <c r="N740"/>
      <c r="O740"/>
      <c r="P740"/>
      <c r="Q740"/>
      <c r="R740"/>
      <c r="S740"/>
      <c r="T740"/>
      <c r="U740"/>
      <c r="V740"/>
      <c r="W740"/>
    </row>
    <row r="741" spans="1:23" ht="15.4">
      <c r="A741" s="5">
        <v>485</v>
      </c>
      <c r="B741" s="5">
        <v>18485</v>
      </c>
      <c r="C741" s="5" t="s">
        <v>820</v>
      </c>
      <c r="D741" s="5" t="s">
        <v>565</v>
      </c>
      <c r="E741" s="5" t="s">
        <v>25</v>
      </c>
      <c r="F741" s="6" t="s">
        <v>1360</v>
      </c>
      <c r="G741" s="8">
        <v>45588</v>
      </c>
      <c r="H741" s="8" t="str">
        <f t="shared" si="11"/>
        <v>Oct</v>
      </c>
      <c r="I741" s="5">
        <v>4400</v>
      </c>
      <c r="J741" s="5">
        <v>3800</v>
      </c>
      <c r="K741" s="5">
        <f>student_data[[#This Row],[Total Fee]]-student_data[[#This Row],[Deposit Fee]]</f>
        <v>600</v>
      </c>
      <c r="L741" s="5" t="str">
        <f>IF(student_data[[#This Row],[Outstanding Fee]]=0,"Paid",IF(student_data[[#This Row],[Deposit Fee]]=0,"Unpaid","Partially Paid"))</f>
        <v>Partially Paid</v>
      </c>
      <c r="M741" s="5" t="s">
        <v>75</v>
      </c>
      <c r="N741"/>
      <c r="O741"/>
      <c r="P741"/>
      <c r="Q741"/>
      <c r="R741"/>
      <c r="S741"/>
      <c r="T741"/>
      <c r="U741"/>
      <c r="V741"/>
      <c r="W741"/>
    </row>
    <row r="742" spans="1:23" ht="15.4">
      <c r="A742" s="5">
        <v>701</v>
      </c>
      <c r="B742" s="5">
        <v>18701</v>
      </c>
      <c r="C742" s="5" t="s">
        <v>1096</v>
      </c>
      <c r="D742" s="5" t="s">
        <v>1097</v>
      </c>
      <c r="E742" s="5" t="s">
        <v>9</v>
      </c>
      <c r="F742" s="6" t="s">
        <v>1361</v>
      </c>
      <c r="G742" s="8">
        <v>45588</v>
      </c>
      <c r="H742" s="8" t="str">
        <f t="shared" si="11"/>
        <v>Oct</v>
      </c>
      <c r="I742" s="5">
        <v>5500</v>
      </c>
      <c r="J742" s="5">
        <v>5100</v>
      </c>
      <c r="K742" s="5">
        <f>student_data[[#This Row],[Total Fee]]-student_data[[#This Row],[Deposit Fee]]</f>
        <v>400</v>
      </c>
      <c r="L742" s="5" t="str">
        <f>IF(student_data[[#This Row],[Outstanding Fee]]=0,"Paid",IF(student_data[[#This Row],[Deposit Fee]]=0,"Unpaid","Partially Paid"))</f>
        <v>Partially Paid</v>
      </c>
      <c r="M742" s="5" t="s">
        <v>29</v>
      </c>
      <c r="N742"/>
      <c r="O742"/>
      <c r="P742"/>
      <c r="Q742"/>
      <c r="R742"/>
      <c r="S742"/>
      <c r="T742"/>
      <c r="U742"/>
      <c r="V742"/>
      <c r="W742"/>
    </row>
    <row r="743" spans="1:23" ht="15.4">
      <c r="A743" s="5">
        <v>702</v>
      </c>
      <c r="B743" s="5">
        <v>18702</v>
      </c>
      <c r="C743" s="5" t="s">
        <v>1094</v>
      </c>
      <c r="D743" s="5" t="s">
        <v>1098</v>
      </c>
      <c r="E743" s="5" t="s">
        <v>9</v>
      </c>
      <c r="F743" s="6" t="s">
        <v>1361</v>
      </c>
      <c r="G743" s="8">
        <v>45588</v>
      </c>
      <c r="H743" s="8" t="str">
        <f t="shared" si="11"/>
        <v>Oct</v>
      </c>
      <c r="I743" s="5">
        <v>5500</v>
      </c>
      <c r="J743" s="5">
        <v>5100</v>
      </c>
      <c r="K743" s="5">
        <f>student_data[[#This Row],[Total Fee]]-student_data[[#This Row],[Deposit Fee]]</f>
        <v>400</v>
      </c>
      <c r="L743" s="5" t="str">
        <f>IF(student_data[[#This Row],[Outstanding Fee]]=0,"Paid",IF(student_data[[#This Row],[Deposit Fee]]=0,"Unpaid","Partially Paid"))</f>
        <v>Partially Paid</v>
      </c>
      <c r="M743" s="5" t="s">
        <v>32</v>
      </c>
      <c r="N743"/>
      <c r="O743"/>
      <c r="P743"/>
      <c r="Q743"/>
      <c r="R743"/>
      <c r="S743"/>
      <c r="T743"/>
      <c r="U743"/>
      <c r="V743"/>
      <c r="W743"/>
    </row>
    <row r="744" spans="1:23" ht="15.4">
      <c r="A744" s="5">
        <v>486</v>
      </c>
      <c r="B744" s="5">
        <v>18486</v>
      </c>
      <c r="C744" s="5" t="s">
        <v>821</v>
      </c>
      <c r="D744" s="5" t="s">
        <v>21</v>
      </c>
      <c r="E744" s="5" t="s">
        <v>25</v>
      </c>
      <c r="F744" s="6" t="s">
        <v>1360</v>
      </c>
      <c r="G744" s="8">
        <v>45589</v>
      </c>
      <c r="H744" s="8" t="str">
        <f t="shared" si="11"/>
        <v>Oct</v>
      </c>
      <c r="I744" s="5">
        <v>4400</v>
      </c>
      <c r="J744" s="5">
        <v>4400</v>
      </c>
      <c r="K744" s="5">
        <f>student_data[[#This Row],[Total Fee]]-student_data[[#This Row],[Deposit Fee]]</f>
        <v>0</v>
      </c>
      <c r="L744" s="5" t="str">
        <f>IF(student_data[[#This Row],[Outstanding Fee]]=0,"Paid",IF(student_data[[#This Row],[Deposit Fee]]=0,"Unpaid","Partially Paid"))</f>
        <v>Paid</v>
      </c>
      <c r="M744" s="5" t="s">
        <v>10</v>
      </c>
      <c r="N744"/>
      <c r="O744"/>
      <c r="P744"/>
      <c r="Q744"/>
      <c r="R744"/>
      <c r="S744"/>
      <c r="T744"/>
      <c r="U744"/>
      <c r="V744"/>
      <c r="W744"/>
    </row>
    <row r="745" spans="1:23" ht="15.4">
      <c r="A745" s="5">
        <v>703</v>
      </c>
      <c r="B745" s="5">
        <v>18703</v>
      </c>
      <c r="C745" s="5" t="s">
        <v>1099</v>
      </c>
      <c r="D745" s="5" t="s">
        <v>1100</v>
      </c>
      <c r="E745" s="5" t="s">
        <v>25</v>
      </c>
      <c r="F745" s="6" t="s">
        <v>1361</v>
      </c>
      <c r="G745" s="8">
        <v>45589</v>
      </c>
      <c r="H745" s="8" t="str">
        <f t="shared" si="11"/>
        <v>Oct</v>
      </c>
      <c r="I745" s="5">
        <v>5500</v>
      </c>
      <c r="J745" s="5">
        <v>4900</v>
      </c>
      <c r="K745" s="5">
        <f>student_data[[#This Row],[Total Fee]]-student_data[[#This Row],[Deposit Fee]]</f>
        <v>600</v>
      </c>
      <c r="L745" s="5" t="str">
        <f>IF(student_data[[#This Row],[Outstanding Fee]]=0,"Paid",IF(student_data[[#This Row],[Deposit Fee]]=0,"Unpaid","Partially Paid"))</f>
        <v>Partially Paid</v>
      </c>
      <c r="M745" s="5" t="s">
        <v>35</v>
      </c>
      <c r="N745"/>
      <c r="O745"/>
      <c r="P745"/>
      <c r="Q745"/>
      <c r="R745"/>
      <c r="S745"/>
      <c r="T745"/>
      <c r="U745"/>
      <c r="V745"/>
      <c r="W745"/>
    </row>
    <row r="746" spans="1:23" ht="15.4">
      <c r="A746" s="5">
        <v>748</v>
      </c>
      <c r="B746" s="5">
        <v>18748</v>
      </c>
      <c r="C746" s="5" t="s">
        <v>1160</v>
      </c>
      <c r="D746" s="5" t="s">
        <v>1161</v>
      </c>
      <c r="E746" s="5" t="s">
        <v>9</v>
      </c>
      <c r="F746" s="6" t="s">
        <v>1361</v>
      </c>
      <c r="G746" s="8">
        <v>45589</v>
      </c>
      <c r="H746" s="8" t="str">
        <f t="shared" si="11"/>
        <v>Oct</v>
      </c>
      <c r="I746" s="5">
        <v>5500</v>
      </c>
      <c r="J746" s="5">
        <v>4900</v>
      </c>
      <c r="K746" s="5">
        <f>student_data[[#This Row],[Total Fee]]-student_data[[#This Row],[Deposit Fee]]</f>
        <v>600</v>
      </c>
      <c r="L746" s="5" t="str">
        <f>IF(student_data[[#This Row],[Outstanding Fee]]=0,"Paid",IF(student_data[[#This Row],[Deposit Fee]]=0,"Unpaid","Partially Paid"))</f>
        <v>Partially Paid</v>
      </c>
      <c r="M746" s="5" t="s">
        <v>13</v>
      </c>
      <c r="N746"/>
      <c r="O746"/>
      <c r="P746"/>
      <c r="Q746"/>
      <c r="R746"/>
      <c r="S746"/>
      <c r="T746"/>
      <c r="U746"/>
      <c r="V746"/>
      <c r="W746"/>
    </row>
    <row r="747" spans="1:23" ht="15.4">
      <c r="A747" s="5">
        <v>487</v>
      </c>
      <c r="B747" s="5">
        <v>18487</v>
      </c>
      <c r="C747" s="5" t="s">
        <v>822</v>
      </c>
      <c r="D747" s="5" t="s">
        <v>823</v>
      </c>
      <c r="E747" s="5" t="s">
        <v>9</v>
      </c>
      <c r="F747" s="6" t="s">
        <v>1361</v>
      </c>
      <c r="G747" s="8">
        <v>45590</v>
      </c>
      <c r="H747" s="8" t="str">
        <f t="shared" si="11"/>
        <v>Oct</v>
      </c>
      <c r="I747" s="5">
        <v>5500</v>
      </c>
      <c r="J747" s="5">
        <v>600</v>
      </c>
      <c r="K747" s="5">
        <f>student_data[[#This Row],[Total Fee]]-student_data[[#This Row],[Deposit Fee]]</f>
        <v>4900</v>
      </c>
      <c r="L747" s="5" t="str">
        <f>IF(student_data[[#This Row],[Outstanding Fee]]=0,"Paid",IF(student_data[[#This Row],[Deposit Fee]]=0,"Unpaid","Partially Paid"))</f>
        <v>Partially Paid</v>
      </c>
      <c r="M747" s="5" t="s">
        <v>13</v>
      </c>
      <c r="N747"/>
      <c r="O747"/>
      <c r="P747"/>
      <c r="Q747"/>
      <c r="R747"/>
      <c r="S747"/>
      <c r="T747"/>
      <c r="U747"/>
      <c r="V747"/>
      <c r="W747"/>
    </row>
    <row r="748" spans="1:23" ht="15.4">
      <c r="A748" s="5">
        <v>488</v>
      </c>
      <c r="B748" s="5">
        <v>18488</v>
      </c>
      <c r="C748" s="5" t="s">
        <v>824</v>
      </c>
      <c r="D748" s="5" t="s">
        <v>647</v>
      </c>
      <c r="E748" s="5" t="s">
        <v>9</v>
      </c>
      <c r="F748" s="6" t="s">
        <v>1361</v>
      </c>
      <c r="G748" s="8">
        <v>45590</v>
      </c>
      <c r="H748" s="8" t="str">
        <f t="shared" si="11"/>
        <v>Oct</v>
      </c>
      <c r="I748" s="5">
        <v>5500</v>
      </c>
      <c r="J748" s="5">
        <v>5500</v>
      </c>
      <c r="K748" s="5">
        <f>student_data[[#This Row],[Total Fee]]-student_data[[#This Row],[Deposit Fee]]</f>
        <v>0</v>
      </c>
      <c r="L748" s="5" t="str">
        <f>IF(student_data[[#This Row],[Outstanding Fee]]=0,"Paid",IF(student_data[[#This Row],[Deposit Fee]]=0,"Unpaid","Partially Paid"))</f>
        <v>Paid</v>
      </c>
      <c r="M748" s="5" t="s">
        <v>16</v>
      </c>
      <c r="N748"/>
      <c r="O748"/>
      <c r="P748"/>
      <c r="Q748"/>
      <c r="R748"/>
      <c r="S748"/>
      <c r="T748"/>
      <c r="U748"/>
      <c r="V748"/>
      <c r="W748"/>
    </row>
    <row r="749" spans="1:23" ht="15.4">
      <c r="A749" s="5">
        <v>704</v>
      </c>
      <c r="B749" s="5">
        <v>18704</v>
      </c>
      <c r="C749" s="5" t="s">
        <v>1101</v>
      </c>
      <c r="D749" s="5" t="s">
        <v>1102</v>
      </c>
      <c r="E749" s="5" t="s">
        <v>9</v>
      </c>
      <c r="F749" s="6" t="s">
        <v>1361</v>
      </c>
      <c r="G749" s="8">
        <v>45590</v>
      </c>
      <c r="H749" s="8" t="str">
        <f t="shared" si="11"/>
        <v>Oct</v>
      </c>
      <c r="I749" s="5">
        <v>5500</v>
      </c>
      <c r="J749" s="5">
        <v>5500</v>
      </c>
      <c r="K749" s="5">
        <f>student_data[[#This Row],[Total Fee]]-student_data[[#This Row],[Deposit Fee]]</f>
        <v>0</v>
      </c>
      <c r="L749" s="5" t="str">
        <f>IF(student_data[[#This Row],[Outstanding Fee]]=0,"Paid",IF(student_data[[#This Row],[Deposit Fee]]=0,"Unpaid","Partially Paid"))</f>
        <v>Paid</v>
      </c>
      <c r="M749" s="5" t="s">
        <v>38</v>
      </c>
      <c r="N749"/>
      <c r="O749"/>
      <c r="P749"/>
      <c r="Q749"/>
      <c r="R749"/>
      <c r="S749"/>
      <c r="T749"/>
      <c r="U749"/>
      <c r="V749"/>
      <c r="W749"/>
    </row>
    <row r="750" spans="1:23" ht="15.4">
      <c r="A750" s="5">
        <v>489</v>
      </c>
      <c r="B750" s="5">
        <v>18489</v>
      </c>
      <c r="C750" s="5" t="s">
        <v>677</v>
      </c>
      <c r="D750" s="5" t="s">
        <v>825</v>
      </c>
      <c r="E750" s="5" t="s">
        <v>9</v>
      </c>
      <c r="F750" s="6" t="s">
        <v>1360</v>
      </c>
      <c r="G750" s="8">
        <v>45591</v>
      </c>
      <c r="H750" s="8" t="str">
        <f t="shared" si="11"/>
        <v>Oct</v>
      </c>
      <c r="I750" s="5">
        <v>4400</v>
      </c>
      <c r="J750" s="5">
        <v>4400</v>
      </c>
      <c r="K750" s="5">
        <f>student_data[[#This Row],[Total Fee]]-student_data[[#This Row],[Deposit Fee]]</f>
        <v>0</v>
      </c>
      <c r="L750" s="5" t="str">
        <f>IF(student_data[[#This Row],[Outstanding Fee]]=0,"Paid",IF(student_data[[#This Row],[Deposit Fee]]=0,"Unpaid","Partially Paid"))</f>
        <v>Paid</v>
      </c>
      <c r="M750" s="5" t="s">
        <v>19</v>
      </c>
      <c r="N750"/>
      <c r="O750"/>
      <c r="P750"/>
      <c r="Q750"/>
      <c r="R750"/>
      <c r="S750"/>
      <c r="T750"/>
      <c r="U750"/>
      <c r="V750"/>
      <c r="W750"/>
    </row>
    <row r="751" spans="1:23" ht="15.4">
      <c r="A751" s="5">
        <v>705</v>
      </c>
      <c r="B751" s="5">
        <v>18705</v>
      </c>
      <c r="C751" s="5" t="s">
        <v>1103</v>
      </c>
      <c r="D751" s="5" t="s">
        <v>616</v>
      </c>
      <c r="E751" s="5" t="s">
        <v>25</v>
      </c>
      <c r="F751" s="6" t="s">
        <v>1361</v>
      </c>
      <c r="G751" s="8">
        <v>45591</v>
      </c>
      <c r="H751" s="8" t="str">
        <f t="shared" si="11"/>
        <v>Oct</v>
      </c>
      <c r="I751" s="5">
        <v>5500</v>
      </c>
      <c r="J751" s="5">
        <v>4900</v>
      </c>
      <c r="K751" s="5">
        <f>student_data[[#This Row],[Total Fee]]-student_data[[#This Row],[Deposit Fee]]</f>
        <v>600</v>
      </c>
      <c r="L751" s="5" t="str">
        <f>IF(student_data[[#This Row],[Outstanding Fee]]=0,"Paid",IF(student_data[[#This Row],[Deposit Fee]]=0,"Unpaid","Partially Paid"))</f>
        <v>Partially Paid</v>
      </c>
      <c r="M751" s="5" t="s">
        <v>22</v>
      </c>
      <c r="N751"/>
      <c r="O751"/>
      <c r="P751"/>
      <c r="Q751"/>
      <c r="R751"/>
      <c r="S751"/>
      <c r="T751"/>
      <c r="U751"/>
      <c r="V751"/>
      <c r="W751"/>
    </row>
    <row r="752" spans="1:23" ht="15.4">
      <c r="A752" s="5">
        <v>867</v>
      </c>
      <c r="B752" s="5">
        <v>18867</v>
      </c>
      <c r="C752" s="5" t="s">
        <v>1298</v>
      </c>
      <c r="D752" s="5" t="s">
        <v>214</v>
      </c>
      <c r="E752" s="5" t="s">
        <v>25</v>
      </c>
      <c r="F752" s="6" t="s">
        <v>1360</v>
      </c>
      <c r="G752" s="8">
        <v>45591</v>
      </c>
      <c r="H752" s="8" t="str">
        <f t="shared" si="11"/>
        <v>Oct</v>
      </c>
      <c r="I752" s="5">
        <v>4400</v>
      </c>
      <c r="J752" s="5">
        <v>4400</v>
      </c>
      <c r="K752" s="5">
        <f>student_data[[#This Row],[Total Fee]]-student_data[[#This Row],[Deposit Fee]]</f>
        <v>0</v>
      </c>
      <c r="L752" s="5" t="str">
        <f>IF(student_data[[#This Row],[Outstanding Fee]]=0,"Paid",IF(student_data[[#This Row],[Deposit Fee]]=0,"Unpaid","Partially Paid"))</f>
        <v>Paid</v>
      </c>
      <c r="M752" s="5" t="s">
        <v>38</v>
      </c>
      <c r="N752"/>
      <c r="O752"/>
      <c r="P752"/>
      <c r="Q752"/>
      <c r="R752"/>
      <c r="S752"/>
      <c r="T752"/>
      <c r="U752"/>
      <c r="V752"/>
      <c r="W752"/>
    </row>
    <row r="753" spans="1:23" ht="15.4">
      <c r="A753" s="5">
        <v>490</v>
      </c>
      <c r="B753" s="5">
        <v>18490</v>
      </c>
      <c r="C753" s="5" t="s">
        <v>826</v>
      </c>
      <c r="D753" s="5" t="s">
        <v>109</v>
      </c>
      <c r="E753" s="5" t="s">
        <v>9</v>
      </c>
      <c r="F753" s="6" t="s">
        <v>1361</v>
      </c>
      <c r="G753" s="8">
        <v>45593</v>
      </c>
      <c r="H753" s="8" t="str">
        <f t="shared" si="11"/>
        <v>Oct</v>
      </c>
      <c r="I753" s="5">
        <v>5500</v>
      </c>
      <c r="J753" s="5">
        <v>4900</v>
      </c>
      <c r="K753" s="5">
        <f>student_data[[#This Row],[Total Fee]]-student_data[[#This Row],[Deposit Fee]]</f>
        <v>600</v>
      </c>
      <c r="L753" s="5" t="str">
        <f>IF(student_data[[#This Row],[Outstanding Fee]]=0,"Paid",IF(student_data[[#This Row],[Deposit Fee]]=0,"Unpaid","Partially Paid"))</f>
        <v>Partially Paid</v>
      </c>
      <c r="M753" s="5" t="s">
        <v>22</v>
      </c>
      <c r="N753"/>
      <c r="O753"/>
      <c r="P753"/>
      <c r="Q753"/>
      <c r="R753"/>
      <c r="S753"/>
      <c r="T753"/>
      <c r="U753"/>
      <c r="V753"/>
      <c r="W753"/>
    </row>
    <row r="754" spans="1:23" ht="15.4">
      <c r="A754" s="5">
        <v>868</v>
      </c>
      <c r="B754" s="5">
        <v>18868</v>
      </c>
      <c r="C754" s="5" t="s">
        <v>1299</v>
      </c>
      <c r="D754" s="5" t="s">
        <v>1300</v>
      </c>
      <c r="E754" s="5" t="s">
        <v>9</v>
      </c>
      <c r="F754" s="6" t="s">
        <v>1360</v>
      </c>
      <c r="G754" s="8">
        <v>45593</v>
      </c>
      <c r="H754" s="8" t="str">
        <f t="shared" si="11"/>
        <v>Oct</v>
      </c>
      <c r="I754" s="5">
        <v>4400</v>
      </c>
      <c r="J754" s="5">
        <v>3800</v>
      </c>
      <c r="K754" s="5">
        <f>student_data[[#This Row],[Total Fee]]-student_data[[#This Row],[Deposit Fee]]</f>
        <v>600</v>
      </c>
      <c r="L754" s="5" t="str">
        <f>IF(student_data[[#This Row],[Outstanding Fee]]=0,"Paid",IF(student_data[[#This Row],[Deposit Fee]]=0,"Unpaid","Partially Paid"))</f>
        <v>Partially Paid</v>
      </c>
      <c r="M754" s="5" t="s">
        <v>78</v>
      </c>
      <c r="N754"/>
      <c r="O754"/>
      <c r="P754"/>
      <c r="Q754"/>
      <c r="R754"/>
      <c r="S754"/>
      <c r="T754"/>
      <c r="U754"/>
      <c r="V754"/>
      <c r="W754"/>
    </row>
    <row r="755" spans="1:23" ht="15.4">
      <c r="A755" s="5">
        <v>869</v>
      </c>
      <c r="B755" s="5">
        <v>18869</v>
      </c>
      <c r="C755" s="5" t="s">
        <v>1301</v>
      </c>
      <c r="D755" s="5" t="s">
        <v>1302</v>
      </c>
      <c r="E755" s="5" t="s">
        <v>25</v>
      </c>
      <c r="F755" s="6" t="s">
        <v>1360</v>
      </c>
      <c r="G755" s="8">
        <v>45593</v>
      </c>
      <c r="H755" s="8" t="str">
        <f t="shared" si="11"/>
        <v>Oct</v>
      </c>
      <c r="I755" s="5">
        <v>4400</v>
      </c>
      <c r="J755" s="5">
        <v>3800</v>
      </c>
      <c r="K755" s="5">
        <f>student_data[[#This Row],[Total Fee]]-student_data[[#This Row],[Deposit Fee]]</f>
        <v>600</v>
      </c>
      <c r="L755" s="5" t="str">
        <f>IF(student_data[[#This Row],[Outstanding Fee]]=0,"Paid",IF(student_data[[#This Row],[Deposit Fee]]=0,"Unpaid","Partially Paid"))</f>
        <v>Partially Paid</v>
      </c>
      <c r="M755" s="5" t="s">
        <v>16</v>
      </c>
      <c r="N755"/>
      <c r="O755"/>
      <c r="P755"/>
      <c r="Q755"/>
      <c r="R755"/>
      <c r="S755"/>
      <c r="T755"/>
      <c r="U755"/>
      <c r="V755"/>
      <c r="W755"/>
    </row>
    <row r="756" spans="1:23" ht="15.4">
      <c r="A756" s="5">
        <v>491</v>
      </c>
      <c r="B756" s="5">
        <v>18491</v>
      </c>
      <c r="C756" s="5" t="s">
        <v>827</v>
      </c>
      <c r="D756" s="5" t="s">
        <v>627</v>
      </c>
      <c r="E756" s="5" t="s">
        <v>9</v>
      </c>
      <c r="F756" s="6" t="s">
        <v>1360</v>
      </c>
      <c r="G756" s="8">
        <v>45594</v>
      </c>
      <c r="H756" s="8" t="str">
        <f t="shared" si="11"/>
        <v>Oct</v>
      </c>
      <c r="I756" s="5">
        <v>4400</v>
      </c>
      <c r="J756" s="5">
        <v>4400</v>
      </c>
      <c r="K756" s="5">
        <f>student_data[[#This Row],[Total Fee]]-student_data[[#This Row],[Deposit Fee]]</f>
        <v>0</v>
      </c>
      <c r="L756" s="5" t="str">
        <f>IF(student_data[[#This Row],[Outstanding Fee]]=0,"Paid",IF(student_data[[#This Row],[Deposit Fee]]=0,"Unpaid","Partially Paid"))</f>
        <v>Paid</v>
      </c>
      <c r="M756" s="5" t="s">
        <v>26</v>
      </c>
      <c r="N756"/>
      <c r="O756"/>
      <c r="P756"/>
      <c r="Q756"/>
      <c r="R756"/>
      <c r="S756"/>
      <c r="T756"/>
      <c r="U756"/>
      <c r="V756"/>
      <c r="W756"/>
    </row>
    <row r="757" spans="1:23" ht="15.4">
      <c r="A757" s="5">
        <v>706</v>
      </c>
      <c r="B757" s="5">
        <v>18706</v>
      </c>
      <c r="C757" s="5" t="s">
        <v>189</v>
      </c>
      <c r="D757" s="5" t="s">
        <v>1104</v>
      </c>
      <c r="E757" s="5" t="s">
        <v>9</v>
      </c>
      <c r="F757" s="6" t="s">
        <v>1361</v>
      </c>
      <c r="G757" s="8">
        <v>45594</v>
      </c>
      <c r="H757" s="8" t="str">
        <f t="shared" si="11"/>
        <v>Oct</v>
      </c>
      <c r="I757" s="5">
        <v>5500</v>
      </c>
      <c r="J757" s="5">
        <v>5500</v>
      </c>
      <c r="K757" s="5">
        <f>student_data[[#This Row],[Total Fee]]-student_data[[#This Row],[Deposit Fee]]</f>
        <v>0</v>
      </c>
      <c r="L757" s="5" t="str">
        <f>IF(student_data[[#This Row],[Outstanding Fee]]=0,"Paid",IF(student_data[[#This Row],[Deposit Fee]]=0,"Unpaid","Partially Paid"))</f>
        <v>Paid</v>
      </c>
      <c r="M757" s="5" t="s">
        <v>26</v>
      </c>
      <c r="N757"/>
      <c r="O757"/>
      <c r="P757"/>
      <c r="Q757"/>
      <c r="R757"/>
      <c r="S757"/>
      <c r="T757"/>
      <c r="U757"/>
      <c r="V757"/>
      <c r="W757"/>
    </row>
    <row r="758" spans="1:23" ht="15.4">
      <c r="A758" s="5">
        <v>707</v>
      </c>
      <c r="B758" s="5">
        <v>18707</v>
      </c>
      <c r="C758" s="5" t="s">
        <v>1105</v>
      </c>
      <c r="D758" s="5" t="s">
        <v>1106</v>
      </c>
      <c r="E758" s="5" t="s">
        <v>9</v>
      </c>
      <c r="F758" s="6" t="s">
        <v>1361</v>
      </c>
      <c r="G758" s="8">
        <v>45594</v>
      </c>
      <c r="H758" s="8" t="str">
        <f t="shared" si="11"/>
        <v>Oct</v>
      </c>
      <c r="I758" s="5">
        <v>5500</v>
      </c>
      <c r="J758" s="5">
        <v>5500</v>
      </c>
      <c r="K758" s="5">
        <f>student_data[[#This Row],[Total Fee]]-student_data[[#This Row],[Deposit Fee]]</f>
        <v>0</v>
      </c>
      <c r="L758" s="5" t="str">
        <f>IF(student_data[[#This Row],[Outstanding Fee]]=0,"Paid",IF(student_data[[#This Row],[Deposit Fee]]=0,"Unpaid","Partially Paid"))</f>
        <v>Paid</v>
      </c>
      <c r="M758" s="5" t="s">
        <v>10</v>
      </c>
      <c r="N758"/>
      <c r="O758"/>
      <c r="P758"/>
      <c r="Q758"/>
      <c r="R758"/>
      <c r="S758"/>
      <c r="T758"/>
      <c r="U758"/>
      <c r="V758"/>
      <c r="W758"/>
    </row>
    <row r="759" spans="1:23" ht="15.4">
      <c r="A759" s="5">
        <v>492</v>
      </c>
      <c r="B759" s="5">
        <v>18492</v>
      </c>
      <c r="C759" s="5" t="s">
        <v>828</v>
      </c>
      <c r="D759" s="5" t="s">
        <v>829</v>
      </c>
      <c r="E759" s="5" t="s">
        <v>25</v>
      </c>
      <c r="F759" s="6" t="s">
        <v>1360</v>
      </c>
      <c r="G759" s="8">
        <v>45595</v>
      </c>
      <c r="H759" s="8" t="str">
        <f t="shared" si="11"/>
        <v>Oct</v>
      </c>
      <c r="I759" s="5">
        <v>4400</v>
      </c>
      <c r="J759" s="5">
        <v>4400</v>
      </c>
      <c r="K759" s="5">
        <f>student_data[[#This Row],[Total Fee]]-student_data[[#This Row],[Deposit Fee]]</f>
        <v>0</v>
      </c>
      <c r="L759" s="5" t="str">
        <f>IF(student_data[[#This Row],[Outstanding Fee]]=0,"Paid",IF(student_data[[#This Row],[Deposit Fee]]=0,"Unpaid","Partially Paid"))</f>
        <v>Paid</v>
      </c>
      <c r="M759" s="5" t="s">
        <v>29</v>
      </c>
      <c r="N759"/>
      <c r="O759"/>
      <c r="P759"/>
      <c r="Q759"/>
      <c r="R759"/>
      <c r="S759"/>
      <c r="T759"/>
      <c r="U759"/>
      <c r="V759"/>
      <c r="W759"/>
    </row>
    <row r="760" spans="1:23" ht="15.4">
      <c r="A760" s="5">
        <v>493</v>
      </c>
      <c r="B760" s="5">
        <v>18493</v>
      </c>
      <c r="C760" s="5" t="s">
        <v>830</v>
      </c>
      <c r="D760" s="5" t="s">
        <v>831</v>
      </c>
      <c r="E760" s="5" t="s">
        <v>25</v>
      </c>
      <c r="F760" s="6" t="s">
        <v>1360</v>
      </c>
      <c r="G760" s="8">
        <v>45595</v>
      </c>
      <c r="H760" s="8" t="str">
        <f t="shared" si="11"/>
        <v>Oct</v>
      </c>
      <c r="I760" s="5">
        <v>4400</v>
      </c>
      <c r="J760" s="5">
        <v>4400</v>
      </c>
      <c r="K760" s="5">
        <f>student_data[[#This Row],[Total Fee]]-student_data[[#This Row],[Deposit Fee]]</f>
        <v>0</v>
      </c>
      <c r="L760" s="5" t="str">
        <f>IF(student_data[[#This Row],[Outstanding Fee]]=0,"Paid",IF(student_data[[#This Row],[Deposit Fee]]=0,"Unpaid","Partially Paid"))</f>
        <v>Paid</v>
      </c>
      <c r="M760" s="5" t="s">
        <v>32</v>
      </c>
      <c r="N760"/>
      <c r="O760"/>
      <c r="P760"/>
      <c r="Q760"/>
      <c r="R760"/>
      <c r="S760"/>
      <c r="T760"/>
      <c r="U760"/>
      <c r="V760"/>
      <c r="W760"/>
    </row>
    <row r="761" spans="1:23" ht="15.4">
      <c r="A761" s="5">
        <v>772</v>
      </c>
      <c r="B761" s="5">
        <v>18772</v>
      </c>
      <c r="C761" s="5" t="s">
        <v>1196</v>
      </c>
      <c r="D761" s="5" t="s">
        <v>1197</v>
      </c>
      <c r="E761" s="5" t="s">
        <v>25</v>
      </c>
      <c r="F761" s="5" t="s">
        <v>1363</v>
      </c>
      <c r="G761" s="8">
        <v>45595</v>
      </c>
      <c r="H761" s="8" t="str">
        <f t="shared" si="11"/>
        <v>Oct</v>
      </c>
      <c r="I761" s="5">
        <v>7500</v>
      </c>
      <c r="J761" s="5">
        <v>1500</v>
      </c>
      <c r="K761" s="5">
        <f>student_data[[#This Row],[Total Fee]]-student_data[[#This Row],[Deposit Fee]]</f>
        <v>6000</v>
      </c>
      <c r="L761" s="5" t="str">
        <f>IF(student_data[[#This Row],[Outstanding Fee]]=0,"Paid",IF(student_data[[#This Row],[Deposit Fee]]=0,"Unpaid","Partially Paid"))</f>
        <v>Partially Paid</v>
      </c>
      <c r="M761" s="5" t="s">
        <v>47</v>
      </c>
      <c r="N761"/>
      <c r="O761"/>
      <c r="P761"/>
      <c r="Q761"/>
      <c r="R761"/>
      <c r="S761"/>
      <c r="T761"/>
      <c r="U761"/>
      <c r="V761"/>
      <c r="W761"/>
    </row>
    <row r="762" spans="1:23" ht="15.4">
      <c r="A762" s="5">
        <v>494</v>
      </c>
      <c r="B762" s="5">
        <v>18494</v>
      </c>
      <c r="C762" s="5" t="s">
        <v>832</v>
      </c>
      <c r="D762" s="5" t="s">
        <v>285</v>
      </c>
      <c r="E762" s="5" t="s">
        <v>9</v>
      </c>
      <c r="F762" s="6" t="s">
        <v>1361</v>
      </c>
      <c r="G762" s="8">
        <v>45596</v>
      </c>
      <c r="H762" s="8" t="str">
        <f t="shared" si="11"/>
        <v>Oct</v>
      </c>
      <c r="I762" s="5">
        <v>5500</v>
      </c>
      <c r="J762" s="5">
        <v>5500</v>
      </c>
      <c r="K762" s="5">
        <f>student_data[[#This Row],[Total Fee]]-student_data[[#This Row],[Deposit Fee]]</f>
        <v>0</v>
      </c>
      <c r="L762" s="5" t="str">
        <f>IF(student_data[[#This Row],[Outstanding Fee]]=0,"Paid",IF(student_data[[#This Row],[Deposit Fee]]=0,"Unpaid","Partially Paid"))</f>
        <v>Paid</v>
      </c>
      <c r="M762" s="5" t="s">
        <v>35</v>
      </c>
      <c r="N762"/>
      <c r="O762"/>
      <c r="P762"/>
      <c r="Q762"/>
      <c r="R762"/>
      <c r="S762"/>
      <c r="T762"/>
      <c r="U762"/>
      <c r="V762"/>
      <c r="W762"/>
    </row>
    <row r="763" spans="1:23" ht="15.4">
      <c r="A763" s="5">
        <v>708</v>
      </c>
      <c r="B763" s="5">
        <v>18708</v>
      </c>
      <c r="C763" s="5" t="s">
        <v>976</v>
      </c>
      <c r="D763" s="5" t="s">
        <v>1107</v>
      </c>
      <c r="E763" s="5" t="s">
        <v>9</v>
      </c>
      <c r="F763" s="6" t="s">
        <v>1361</v>
      </c>
      <c r="G763" s="8">
        <v>45596</v>
      </c>
      <c r="H763" s="8" t="str">
        <f t="shared" si="11"/>
        <v>Oct</v>
      </c>
      <c r="I763" s="5">
        <v>5500</v>
      </c>
      <c r="J763" s="5">
        <v>5100</v>
      </c>
      <c r="K763" s="5">
        <f>student_data[[#This Row],[Total Fee]]-student_data[[#This Row],[Deposit Fee]]</f>
        <v>400</v>
      </c>
      <c r="L763" s="5" t="str">
        <f>IF(student_data[[#This Row],[Outstanding Fee]]=0,"Paid",IF(student_data[[#This Row],[Deposit Fee]]=0,"Unpaid","Partially Paid"))</f>
        <v>Partially Paid</v>
      </c>
      <c r="M763" s="5" t="s">
        <v>47</v>
      </c>
      <c r="N763"/>
      <c r="O763"/>
      <c r="P763"/>
      <c r="Q763"/>
      <c r="R763"/>
      <c r="S763"/>
      <c r="T763"/>
      <c r="U763"/>
      <c r="V763"/>
      <c r="W763"/>
    </row>
    <row r="764" spans="1:23" ht="15.4">
      <c r="A764" s="5">
        <v>773</v>
      </c>
      <c r="B764" s="5">
        <v>18773</v>
      </c>
      <c r="C764" s="5" t="s">
        <v>1198</v>
      </c>
      <c r="D764" s="5" t="s">
        <v>1199</v>
      </c>
      <c r="E764" s="5" t="s">
        <v>9</v>
      </c>
      <c r="F764" s="6" t="s">
        <v>1360</v>
      </c>
      <c r="G764" s="8">
        <v>45596</v>
      </c>
      <c r="H764" s="8" t="str">
        <f t="shared" si="11"/>
        <v>Oct</v>
      </c>
      <c r="I764" s="5">
        <v>4400</v>
      </c>
      <c r="J764" s="5">
        <v>4000</v>
      </c>
      <c r="K764" s="5">
        <f>student_data[[#This Row],[Total Fee]]-student_data[[#This Row],[Deposit Fee]]</f>
        <v>400</v>
      </c>
      <c r="L764" s="5" t="str">
        <f>IF(student_data[[#This Row],[Outstanding Fee]]=0,"Paid",IF(student_data[[#This Row],[Deposit Fee]]=0,"Unpaid","Partially Paid"))</f>
        <v>Partially Paid</v>
      </c>
      <c r="M764" s="5" t="s">
        <v>75</v>
      </c>
      <c r="N764"/>
      <c r="O764"/>
      <c r="P764"/>
      <c r="Q764"/>
      <c r="R764"/>
      <c r="S764"/>
      <c r="T764"/>
      <c r="U764"/>
      <c r="V764"/>
      <c r="W764"/>
    </row>
    <row r="765" spans="1:23" ht="15.4">
      <c r="A765" s="5">
        <v>495</v>
      </c>
      <c r="B765" s="5">
        <v>18495</v>
      </c>
      <c r="C765" s="5" t="s">
        <v>833</v>
      </c>
      <c r="D765" s="5" t="s">
        <v>63</v>
      </c>
      <c r="E765" s="5" t="s">
        <v>9</v>
      </c>
      <c r="F765" s="6" t="s">
        <v>1360</v>
      </c>
      <c r="G765" s="8">
        <v>45597</v>
      </c>
      <c r="H765" s="8" t="str">
        <f t="shared" si="11"/>
        <v>Nov</v>
      </c>
      <c r="I765" s="5">
        <v>4400</v>
      </c>
      <c r="J765" s="5">
        <v>4000</v>
      </c>
      <c r="K765" s="5">
        <f>student_data[[#This Row],[Total Fee]]-student_data[[#This Row],[Deposit Fee]]</f>
        <v>400</v>
      </c>
      <c r="L765" s="5" t="str">
        <f>IF(student_data[[#This Row],[Outstanding Fee]]=0,"Paid",IF(student_data[[#This Row],[Deposit Fee]]=0,"Unpaid","Partially Paid"))</f>
        <v>Partially Paid</v>
      </c>
      <c r="M765" s="5" t="s">
        <v>38</v>
      </c>
      <c r="N765"/>
      <c r="O765"/>
      <c r="P765"/>
      <c r="Q765"/>
      <c r="R765"/>
      <c r="S765"/>
      <c r="T765"/>
      <c r="U765"/>
      <c r="V765"/>
      <c r="W765"/>
    </row>
    <row r="766" spans="1:23" ht="15.4">
      <c r="A766" s="5">
        <v>709</v>
      </c>
      <c r="B766" s="5">
        <v>18709</v>
      </c>
      <c r="C766" s="5" t="s">
        <v>1108</v>
      </c>
      <c r="D766" s="5" t="s">
        <v>1109</v>
      </c>
      <c r="E766" s="5" t="s">
        <v>9</v>
      </c>
      <c r="F766" s="5" t="s">
        <v>1363</v>
      </c>
      <c r="G766" s="8">
        <v>45597</v>
      </c>
      <c r="H766" s="8" t="str">
        <f t="shared" si="11"/>
        <v>Nov</v>
      </c>
      <c r="I766" s="5">
        <v>7500</v>
      </c>
      <c r="J766" s="5">
        <v>7100</v>
      </c>
      <c r="K766" s="5">
        <f>student_data[[#This Row],[Total Fee]]-student_data[[#This Row],[Deposit Fee]]</f>
        <v>400</v>
      </c>
      <c r="L766" s="5" t="str">
        <f>IF(student_data[[#This Row],[Outstanding Fee]]=0,"Paid",IF(student_data[[#This Row],[Deposit Fee]]=0,"Unpaid","Partially Paid"))</f>
        <v>Partially Paid</v>
      </c>
      <c r="M766" s="5" t="s">
        <v>50</v>
      </c>
      <c r="N766"/>
      <c r="O766"/>
      <c r="P766"/>
      <c r="Q766"/>
      <c r="R766"/>
      <c r="S766"/>
      <c r="T766"/>
      <c r="U766"/>
      <c r="V766"/>
      <c r="W766"/>
    </row>
    <row r="767" spans="1:23" ht="15.4">
      <c r="A767" s="5">
        <v>710</v>
      </c>
      <c r="B767" s="5">
        <v>18710</v>
      </c>
      <c r="C767" s="5" t="s">
        <v>1110</v>
      </c>
      <c r="D767" s="5" t="s">
        <v>216</v>
      </c>
      <c r="E767" s="5" t="s">
        <v>25</v>
      </c>
      <c r="F767" s="5" t="s">
        <v>1363</v>
      </c>
      <c r="G767" s="8">
        <v>45597</v>
      </c>
      <c r="H767" s="8" t="str">
        <f t="shared" si="11"/>
        <v>Nov</v>
      </c>
      <c r="I767" s="5">
        <v>7500</v>
      </c>
      <c r="J767" s="5">
        <v>400</v>
      </c>
      <c r="K767" s="5">
        <f>student_data[[#This Row],[Total Fee]]-student_data[[#This Row],[Deposit Fee]]</f>
        <v>7100</v>
      </c>
      <c r="L767" s="5" t="str">
        <f>IF(student_data[[#This Row],[Outstanding Fee]]=0,"Paid",IF(student_data[[#This Row],[Deposit Fee]]=0,"Unpaid","Partially Paid"))</f>
        <v>Partially Paid</v>
      </c>
      <c r="M767" s="5" t="s">
        <v>53</v>
      </c>
      <c r="N767"/>
      <c r="O767"/>
      <c r="P767"/>
      <c r="Q767"/>
      <c r="R767"/>
      <c r="S767"/>
      <c r="T767"/>
      <c r="U767"/>
      <c r="V767"/>
      <c r="W767"/>
    </row>
    <row r="768" spans="1:23" ht="15.4">
      <c r="A768" s="5">
        <v>711</v>
      </c>
      <c r="B768" s="5">
        <v>18711</v>
      </c>
      <c r="C768" s="5" t="s">
        <v>1111</v>
      </c>
      <c r="D768" s="5" t="s">
        <v>1112</v>
      </c>
      <c r="E768" s="5" t="s">
        <v>25</v>
      </c>
      <c r="F768" s="6" t="s">
        <v>1360</v>
      </c>
      <c r="G768" s="8">
        <v>45598</v>
      </c>
      <c r="H768" s="8" t="str">
        <f t="shared" si="11"/>
        <v>Nov</v>
      </c>
      <c r="I768" s="5">
        <v>4400</v>
      </c>
      <c r="J768" s="5">
        <v>3800</v>
      </c>
      <c r="K768" s="5">
        <f>student_data[[#This Row],[Total Fee]]-student_data[[#This Row],[Deposit Fee]]</f>
        <v>600</v>
      </c>
      <c r="L768" s="5" t="str">
        <f>IF(student_data[[#This Row],[Outstanding Fee]]=0,"Paid",IF(student_data[[#This Row],[Deposit Fee]]=0,"Unpaid","Partially Paid"))</f>
        <v>Partially Paid</v>
      </c>
      <c r="M768" s="5" t="s">
        <v>50</v>
      </c>
      <c r="N768"/>
      <c r="O768"/>
      <c r="P768"/>
      <c r="Q768"/>
      <c r="R768"/>
      <c r="S768"/>
      <c r="T768"/>
      <c r="U768"/>
      <c r="V768"/>
      <c r="W768"/>
    </row>
    <row r="769" spans="1:23" ht="15.4">
      <c r="A769" s="5">
        <v>712</v>
      </c>
      <c r="B769" s="5">
        <v>18712</v>
      </c>
      <c r="C769" s="5" t="s">
        <v>396</v>
      </c>
      <c r="D769" s="5" t="s">
        <v>1113</v>
      </c>
      <c r="E769" s="5" t="s">
        <v>9</v>
      </c>
      <c r="F769" s="6" t="s">
        <v>1360</v>
      </c>
      <c r="G769" s="8">
        <v>45598</v>
      </c>
      <c r="H769" s="8" t="str">
        <f t="shared" si="11"/>
        <v>Nov</v>
      </c>
      <c r="I769" s="5">
        <v>4400</v>
      </c>
      <c r="J769" s="5">
        <v>3800</v>
      </c>
      <c r="K769" s="5">
        <f>student_data[[#This Row],[Total Fee]]-student_data[[#This Row],[Deposit Fee]]</f>
        <v>600</v>
      </c>
      <c r="L769" s="5" t="str">
        <f>IF(student_data[[#This Row],[Outstanding Fee]]=0,"Paid",IF(student_data[[#This Row],[Deposit Fee]]=0,"Unpaid","Partially Paid"))</f>
        <v>Partially Paid</v>
      </c>
      <c r="M769" s="5" t="s">
        <v>53</v>
      </c>
      <c r="N769"/>
      <c r="O769"/>
      <c r="P769"/>
      <c r="Q769"/>
      <c r="R769"/>
      <c r="S769"/>
      <c r="T769"/>
      <c r="U769"/>
      <c r="V769"/>
      <c r="W769"/>
    </row>
    <row r="770" spans="1:23" ht="15.4">
      <c r="A770" s="5">
        <v>713</v>
      </c>
      <c r="B770" s="5">
        <v>18713</v>
      </c>
      <c r="C770" s="5" t="s">
        <v>1114</v>
      </c>
      <c r="D770" s="5" t="s">
        <v>1115</v>
      </c>
      <c r="E770" s="5" t="s">
        <v>25</v>
      </c>
      <c r="F770" s="5" t="s">
        <v>1363</v>
      </c>
      <c r="G770" s="8">
        <v>45598</v>
      </c>
      <c r="H770" s="8" t="str">
        <f t="shared" ref="H770:H833" si="12">TEXT(G770,"mmm")</f>
        <v>Nov</v>
      </c>
      <c r="I770" s="5">
        <v>7500</v>
      </c>
      <c r="J770" s="5">
        <v>6900</v>
      </c>
      <c r="K770" s="5">
        <f>student_data[[#This Row],[Total Fee]]-student_data[[#This Row],[Deposit Fee]]</f>
        <v>600</v>
      </c>
      <c r="L770" s="5" t="str">
        <f>IF(student_data[[#This Row],[Outstanding Fee]]=0,"Paid",IF(student_data[[#This Row],[Deposit Fee]]=0,"Unpaid","Partially Paid"))</f>
        <v>Partially Paid</v>
      </c>
      <c r="M770" s="5" t="s">
        <v>53</v>
      </c>
      <c r="N770"/>
      <c r="O770"/>
      <c r="P770"/>
      <c r="Q770"/>
      <c r="R770"/>
      <c r="S770"/>
      <c r="T770"/>
      <c r="U770"/>
      <c r="V770"/>
      <c r="W770"/>
    </row>
    <row r="771" spans="1:23" ht="15.4">
      <c r="A771" s="5">
        <v>496</v>
      </c>
      <c r="B771" s="5">
        <v>18496</v>
      </c>
      <c r="C771" s="5" t="s">
        <v>834</v>
      </c>
      <c r="D771" s="5" t="s">
        <v>182</v>
      </c>
      <c r="E771" s="5" t="s">
        <v>9</v>
      </c>
      <c r="F771" s="6" t="s">
        <v>1360</v>
      </c>
      <c r="G771" s="8">
        <v>45600</v>
      </c>
      <c r="H771" s="8" t="str">
        <f t="shared" si="12"/>
        <v>Nov</v>
      </c>
      <c r="I771" s="5">
        <v>4400</v>
      </c>
      <c r="J771" s="5">
        <v>4400</v>
      </c>
      <c r="K771" s="5">
        <f>student_data[[#This Row],[Total Fee]]-student_data[[#This Row],[Deposit Fee]]</f>
        <v>0</v>
      </c>
      <c r="L771" s="5" t="str">
        <f>IF(student_data[[#This Row],[Outstanding Fee]]=0,"Paid",IF(student_data[[#This Row],[Deposit Fee]]=0,"Unpaid","Partially Paid"))</f>
        <v>Paid</v>
      </c>
      <c r="M771" s="5" t="s">
        <v>22</v>
      </c>
      <c r="N771"/>
      <c r="O771"/>
      <c r="P771"/>
      <c r="Q771"/>
      <c r="R771"/>
      <c r="S771"/>
      <c r="T771"/>
      <c r="U771"/>
      <c r="V771"/>
      <c r="W771"/>
    </row>
    <row r="772" spans="1:23" ht="15.4">
      <c r="A772" s="5">
        <v>497</v>
      </c>
      <c r="B772" s="5">
        <v>18497</v>
      </c>
      <c r="C772" s="5" t="s">
        <v>835</v>
      </c>
      <c r="D772" s="5" t="s">
        <v>712</v>
      </c>
      <c r="E772" s="5" t="s">
        <v>9</v>
      </c>
      <c r="F772" s="6" t="s">
        <v>1360</v>
      </c>
      <c r="G772" s="8">
        <v>45600</v>
      </c>
      <c r="H772" s="8" t="str">
        <f t="shared" si="12"/>
        <v>Nov</v>
      </c>
      <c r="I772" s="5">
        <v>4400</v>
      </c>
      <c r="J772" s="5">
        <v>4400</v>
      </c>
      <c r="K772" s="5">
        <f>student_data[[#This Row],[Total Fee]]-student_data[[#This Row],[Deposit Fee]]</f>
        <v>0</v>
      </c>
      <c r="L772" s="5" t="str">
        <f>IF(student_data[[#This Row],[Outstanding Fee]]=0,"Paid",IF(student_data[[#This Row],[Deposit Fee]]=0,"Unpaid","Partially Paid"))</f>
        <v>Paid</v>
      </c>
      <c r="M772" s="5" t="s">
        <v>26</v>
      </c>
      <c r="N772"/>
      <c r="O772"/>
      <c r="P772"/>
      <c r="Q772"/>
      <c r="R772"/>
      <c r="S772"/>
      <c r="T772"/>
      <c r="U772"/>
      <c r="V772"/>
      <c r="W772"/>
    </row>
    <row r="773" spans="1:23" ht="15.4">
      <c r="A773" s="5">
        <v>498</v>
      </c>
      <c r="B773" s="5">
        <v>18498</v>
      </c>
      <c r="C773" s="5" t="s">
        <v>836</v>
      </c>
      <c r="D773" s="5" t="s">
        <v>479</v>
      </c>
      <c r="E773" s="5" t="s">
        <v>9</v>
      </c>
      <c r="F773" s="6" t="s">
        <v>1360</v>
      </c>
      <c r="G773" s="8">
        <v>45600</v>
      </c>
      <c r="H773" s="8" t="str">
        <f t="shared" si="12"/>
        <v>Nov</v>
      </c>
      <c r="I773" s="5">
        <v>4400</v>
      </c>
      <c r="J773" s="5">
        <v>4400</v>
      </c>
      <c r="K773" s="5">
        <f>student_data[[#This Row],[Total Fee]]-student_data[[#This Row],[Deposit Fee]]</f>
        <v>0</v>
      </c>
      <c r="L773" s="5" t="str">
        <f>IF(student_data[[#This Row],[Outstanding Fee]]=0,"Paid",IF(student_data[[#This Row],[Deposit Fee]]=0,"Unpaid","Partially Paid"))</f>
        <v>Paid</v>
      </c>
      <c r="M773" s="5" t="s">
        <v>10</v>
      </c>
      <c r="N773"/>
      <c r="O773"/>
      <c r="P773"/>
      <c r="Q773"/>
      <c r="R773"/>
      <c r="S773"/>
      <c r="T773"/>
      <c r="U773"/>
      <c r="V773"/>
      <c r="W773"/>
    </row>
    <row r="774" spans="1:23" ht="15.4">
      <c r="A774" s="5">
        <v>499</v>
      </c>
      <c r="B774" s="5">
        <v>18499</v>
      </c>
      <c r="C774" s="5" t="s">
        <v>837</v>
      </c>
      <c r="D774" s="5" t="s">
        <v>838</v>
      </c>
      <c r="E774" s="5" t="s">
        <v>25</v>
      </c>
      <c r="F774" s="6" t="s">
        <v>1361</v>
      </c>
      <c r="G774" s="8">
        <v>45601</v>
      </c>
      <c r="H774" s="8" t="str">
        <f t="shared" si="12"/>
        <v>Nov</v>
      </c>
      <c r="I774" s="5">
        <v>5500</v>
      </c>
      <c r="J774" s="5">
        <v>4900</v>
      </c>
      <c r="K774" s="5">
        <f>student_data[[#This Row],[Total Fee]]-student_data[[#This Row],[Deposit Fee]]</f>
        <v>600</v>
      </c>
      <c r="L774" s="5" t="str">
        <f>IF(student_data[[#This Row],[Outstanding Fee]]=0,"Paid",IF(student_data[[#This Row],[Deposit Fee]]=0,"Unpaid","Partially Paid"))</f>
        <v>Partially Paid</v>
      </c>
      <c r="M774" s="5" t="s">
        <v>47</v>
      </c>
      <c r="N774"/>
      <c r="O774"/>
      <c r="P774"/>
      <c r="Q774"/>
      <c r="R774"/>
      <c r="S774"/>
      <c r="T774"/>
      <c r="U774"/>
      <c r="V774"/>
      <c r="W774"/>
    </row>
    <row r="775" spans="1:23" ht="15.4">
      <c r="A775" s="5">
        <v>500</v>
      </c>
      <c r="B775" s="5">
        <v>18500</v>
      </c>
      <c r="C775" s="5" t="s">
        <v>839</v>
      </c>
      <c r="D775" s="5" t="s">
        <v>489</v>
      </c>
      <c r="E775" s="5" t="s">
        <v>9</v>
      </c>
      <c r="F775" s="6" t="s">
        <v>1361</v>
      </c>
      <c r="G775" s="8">
        <v>45601</v>
      </c>
      <c r="H775" s="8" t="str">
        <f t="shared" si="12"/>
        <v>Nov</v>
      </c>
      <c r="I775" s="5">
        <v>5500</v>
      </c>
      <c r="J775" s="5">
        <v>5100</v>
      </c>
      <c r="K775" s="5">
        <f>student_data[[#This Row],[Total Fee]]-student_data[[#This Row],[Deposit Fee]]</f>
        <v>400</v>
      </c>
      <c r="L775" s="5" t="str">
        <f>IF(student_data[[#This Row],[Outstanding Fee]]=0,"Paid",IF(student_data[[#This Row],[Deposit Fee]]=0,"Unpaid","Partially Paid"))</f>
        <v>Partially Paid</v>
      </c>
      <c r="M775" s="5" t="s">
        <v>50</v>
      </c>
      <c r="N775"/>
      <c r="O775"/>
      <c r="P775"/>
      <c r="Q775"/>
      <c r="R775"/>
      <c r="S775"/>
      <c r="T775"/>
      <c r="U775"/>
      <c r="V775"/>
      <c r="W775"/>
    </row>
    <row r="776" spans="1:23" ht="15.4">
      <c r="A776" s="5">
        <v>714</v>
      </c>
      <c r="B776" s="5">
        <v>18714</v>
      </c>
      <c r="C776" s="5" t="s">
        <v>1116</v>
      </c>
      <c r="D776" s="5" t="s">
        <v>1117</v>
      </c>
      <c r="E776" s="5" t="s">
        <v>25</v>
      </c>
      <c r="F776" s="6" t="s">
        <v>1361</v>
      </c>
      <c r="G776" s="8">
        <v>45601</v>
      </c>
      <c r="H776" s="8" t="str">
        <f t="shared" si="12"/>
        <v>Nov</v>
      </c>
      <c r="I776" s="5">
        <v>5500</v>
      </c>
      <c r="J776" s="5">
        <v>4900</v>
      </c>
      <c r="K776" s="5">
        <f>student_data[[#This Row],[Total Fee]]-student_data[[#This Row],[Deposit Fee]]</f>
        <v>600</v>
      </c>
      <c r="L776" s="5" t="str">
        <f>IF(student_data[[#This Row],[Outstanding Fee]]=0,"Paid",IF(student_data[[#This Row],[Deposit Fee]]=0,"Unpaid","Partially Paid"))</f>
        <v>Partially Paid</v>
      </c>
      <c r="M776" s="5" t="s">
        <v>50</v>
      </c>
      <c r="N776"/>
      <c r="O776"/>
      <c r="P776"/>
      <c r="Q776"/>
      <c r="R776"/>
      <c r="S776"/>
      <c r="T776"/>
      <c r="U776"/>
      <c r="V776"/>
      <c r="W776"/>
    </row>
    <row r="777" spans="1:23" ht="15.4">
      <c r="A777" s="5">
        <v>501</v>
      </c>
      <c r="B777" s="5">
        <v>18501</v>
      </c>
      <c r="C777" s="5" t="s">
        <v>840</v>
      </c>
      <c r="D777" s="5" t="s">
        <v>841</v>
      </c>
      <c r="E777" s="5" t="s">
        <v>25</v>
      </c>
      <c r="F777" s="6" t="s">
        <v>1360</v>
      </c>
      <c r="G777" s="8">
        <v>45602</v>
      </c>
      <c r="H777" s="8" t="str">
        <f t="shared" si="12"/>
        <v>Nov</v>
      </c>
      <c r="I777" s="5">
        <v>4400</v>
      </c>
      <c r="J777" s="5">
        <v>3800</v>
      </c>
      <c r="K777" s="5">
        <f>student_data[[#This Row],[Total Fee]]-student_data[[#This Row],[Deposit Fee]]</f>
        <v>600</v>
      </c>
      <c r="L777" s="5" t="str">
        <f>IF(student_data[[#This Row],[Outstanding Fee]]=0,"Paid",IF(student_data[[#This Row],[Deposit Fee]]=0,"Unpaid","Partially Paid"))</f>
        <v>Partially Paid</v>
      </c>
      <c r="M777" s="5" t="s">
        <v>53</v>
      </c>
      <c r="N777"/>
      <c r="O777"/>
      <c r="P777"/>
      <c r="Q777"/>
      <c r="R777"/>
      <c r="S777"/>
      <c r="T777"/>
      <c r="U777"/>
      <c r="V777"/>
      <c r="W777"/>
    </row>
    <row r="778" spans="1:23" ht="15.4">
      <c r="A778" s="5">
        <v>502</v>
      </c>
      <c r="B778" s="5">
        <v>18502</v>
      </c>
      <c r="C778" s="5" t="s">
        <v>842</v>
      </c>
      <c r="D778" s="5" t="s">
        <v>843</v>
      </c>
      <c r="E778" s="5" t="s">
        <v>9</v>
      </c>
      <c r="F778" s="6" t="s">
        <v>1360</v>
      </c>
      <c r="G778" s="8">
        <v>45602</v>
      </c>
      <c r="H778" s="8" t="str">
        <f t="shared" si="12"/>
        <v>Nov</v>
      </c>
      <c r="I778" s="5">
        <v>4400</v>
      </c>
      <c r="J778" s="5">
        <v>3800</v>
      </c>
      <c r="K778" s="5">
        <f>student_data[[#This Row],[Total Fee]]-student_data[[#This Row],[Deposit Fee]]</f>
        <v>600</v>
      </c>
      <c r="L778" s="5" t="str">
        <f>IF(student_data[[#This Row],[Outstanding Fee]]=0,"Paid",IF(student_data[[#This Row],[Deposit Fee]]=0,"Unpaid","Partially Paid"))</f>
        <v>Partially Paid</v>
      </c>
      <c r="M778" s="5" t="s">
        <v>50</v>
      </c>
      <c r="N778"/>
      <c r="O778"/>
      <c r="P778"/>
      <c r="Q778"/>
      <c r="R778"/>
      <c r="S778"/>
      <c r="T778"/>
      <c r="U778"/>
      <c r="V778"/>
      <c r="W778"/>
    </row>
    <row r="779" spans="1:23" ht="15.4">
      <c r="A779" s="5">
        <v>503</v>
      </c>
      <c r="B779" s="5">
        <v>18503</v>
      </c>
      <c r="C779" s="5" t="s">
        <v>844</v>
      </c>
      <c r="D779" s="5" t="s">
        <v>845</v>
      </c>
      <c r="E779" s="5" t="s">
        <v>9</v>
      </c>
      <c r="F779" s="6" t="s">
        <v>1360</v>
      </c>
      <c r="G779" s="8">
        <v>45602</v>
      </c>
      <c r="H779" s="8" t="str">
        <f t="shared" si="12"/>
        <v>Nov</v>
      </c>
      <c r="I779" s="5">
        <v>4400</v>
      </c>
      <c r="J779" s="5">
        <v>4400</v>
      </c>
      <c r="K779" s="5">
        <f>student_data[[#This Row],[Total Fee]]-student_data[[#This Row],[Deposit Fee]]</f>
        <v>0</v>
      </c>
      <c r="L779" s="5" t="str">
        <f>IF(student_data[[#This Row],[Outstanding Fee]]=0,"Paid",IF(student_data[[#This Row],[Deposit Fee]]=0,"Unpaid","Partially Paid"))</f>
        <v>Paid</v>
      </c>
      <c r="M779" s="5" t="s">
        <v>53</v>
      </c>
      <c r="N779"/>
      <c r="O779"/>
      <c r="P779"/>
      <c r="Q779"/>
      <c r="R779"/>
      <c r="S779"/>
      <c r="T779"/>
      <c r="U779"/>
      <c r="V779"/>
      <c r="W779"/>
    </row>
    <row r="780" spans="1:23" ht="15.4">
      <c r="A780" s="5">
        <v>504</v>
      </c>
      <c r="B780" s="5">
        <v>18504</v>
      </c>
      <c r="C780" s="5" t="s">
        <v>846</v>
      </c>
      <c r="D780" s="5" t="s">
        <v>339</v>
      </c>
      <c r="E780" s="5" t="s">
        <v>9</v>
      </c>
      <c r="F780" s="6" t="s">
        <v>1360</v>
      </c>
      <c r="G780" s="8">
        <v>45603</v>
      </c>
      <c r="H780" s="8" t="str">
        <f t="shared" si="12"/>
        <v>Nov</v>
      </c>
      <c r="I780" s="5">
        <v>4400</v>
      </c>
      <c r="J780" s="5">
        <v>4400</v>
      </c>
      <c r="K780" s="5">
        <f>student_data[[#This Row],[Total Fee]]-student_data[[#This Row],[Deposit Fee]]</f>
        <v>0</v>
      </c>
      <c r="L780" s="5" t="str">
        <f>IF(student_data[[#This Row],[Outstanding Fee]]=0,"Paid",IF(student_data[[#This Row],[Deposit Fee]]=0,"Unpaid","Partially Paid"))</f>
        <v>Paid</v>
      </c>
      <c r="M780" s="5" t="s">
        <v>53</v>
      </c>
      <c r="N780"/>
      <c r="O780"/>
      <c r="P780"/>
      <c r="Q780"/>
      <c r="R780"/>
      <c r="S780"/>
      <c r="T780"/>
      <c r="U780"/>
      <c r="V780"/>
      <c r="W780"/>
    </row>
    <row r="781" spans="1:23" ht="15.4">
      <c r="A781" s="5">
        <v>505</v>
      </c>
      <c r="B781" s="5">
        <v>18505</v>
      </c>
      <c r="C781" s="5" t="s">
        <v>847</v>
      </c>
      <c r="D781" s="5" t="s">
        <v>848</v>
      </c>
      <c r="E781" s="5" t="s">
        <v>9</v>
      </c>
      <c r="F781" s="6" t="s">
        <v>1361</v>
      </c>
      <c r="G781" s="8">
        <v>45603</v>
      </c>
      <c r="H781" s="8" t="str">
        <f t="shared" si="12"/>
        <v>Nov</v>
      </c>
      <c r="I781" s="5">
        <v>5500</v>
      </c>
      <c r="J781" s="5">
        <v>4500</v>
      </c>
      <c r="K781" s="5">
        <f>student_data[[#This Row],[Total Fee]]-student_data[[#This Row],[Deposit Fee]]</f>
        <v>1000</v>
      </c>
      <c r="L781" s="5" t="str">
        <f>IF(student_data[[#This Row],[Outstanding Fee]]=0,"Paid",IF(student_data[[#This Row],[Deposit Fee]]=0,"Unpaid","Partially Paid"))</f>
        <v>Partially Paid</v>
      </c>
      <c r="M781" s="5" t="s">
        <v>50</v>
      </c>
      <c r="N781"/>
      <c r="O781"/>
      <c r="P781"/>
      <c r="Q781"/>
      <c r="R781"/>
      <c r="S781"/>
      <c r="T781"/>
      <c r="U781"/>
      <c r="V781"/>
      <c r="W781"/>
    </row>
    <row r="782" spans="1:23" ht="15.4">
      <c r="A782" s="5">
        <v>506</v>
      </c>
      <c r="B782" s="5">
        <v>18506</v>
      </c>
      <c r="C782" s="5" t="s">
        <v>844</v>
      </c>
      <c r="D782" s="5" t="s">
        <v>849</v>
      </c>
      <c r="E782" s="5" t="s">
        <v>9</v>
      </c>
      <c r="F782" s="6" t="s">
        <v>1361</v>
      </c>
      <c r="G782" s="8">
        <v>45603</v>
      </c>
      <c r="H782" s="8" t="str">
        <f t="shared" si="12"/>
        <v>Nov</v>
      </c>
      <c r="I782" s="5">
        <v>5500</v>
      </c>
      <c r="J782" s="5">
        <v>5500</v>
      </c>
      <c r="K782" s="5">
        <f>student_data[[#This Row],[Total Fee]]-student_data[[#This Row],[Deposit Fee]]</f>
        <v>0</v>
      </c>
      <c r="L782" s="5" t="str">
        <f>IF(student_data[[#This Row],[Outstanding Fee]]=0,"Paid",IF(student_data[[#This Row],[Deposit Fee]]=0,"Unpaid","Partially Paid"))</f>
        <v>Paid</v>
      </c>
      <c r="M782" s="5" t="s">
        <v>13</v>
      </c>
      <c r="N782"/>
      <c r="O782"/>
      <c r="P782"/>
      <c r="Q782"/>
      <c r="R782"/>
      <c r="S782"/>
      <c r="T782"/>
      <c r="U782"/>
      <c r="V782"/>
      <c r="W782"/>
    </row>
    <row r="783" spans="1:23" ht="15.4">
      <c r="A783" s="5">
        <v>507</v>
      </c>
      <c r="B783" s="5">
        <v>18507</v>
      </c>
      <c r="C783" s="5" t="s">
        <v>850</v>
      </c>
      <c r="D783" s="5" t="s">
        <v>240</v>
      </c>
      <c r="E783" s="5" t="s">
        <v>25</v>
      </c>
      <c r="F783" s="6" t="s">
        <v>1361</v>
      </c>
      <c r="G783" s="8">
        <v>45604</v>
      </c>
      <c r="H783" s="8" t="str">
        <f t="shared" si="12"/>
        <v>Nov</v>
      </c>
      <c r="I783" s="5">
        <v>5500</v>
      </c>
      <c r="J783" s="5">
        <v>5500</v>
      </c>
      <c r="K783" s="5">
        <f>student_data[[#This Row],[Total Fee]]-student_data[[#This Row],[Deposit Fee]]</f>
        <v>0</v>
      </c>
      <c r="L783" s="5" t="str">
        <f>IF(student_data[[#This Row],[Outstanding Fee]]=0,"Paid",IF(student_data[[#This Row],[Deposit Fee]]=0,"Unpaid","Partially Paid"))</f>
        <v>Paid</v>
      </c>
      <c r="M783" s="5" t="s">
        <v>66</v>
      </c>
      <c r="N783"/>
      <c r="O783"/>
      <c r="P783"/>
      <c r="Q783"/>
      <c r="R783"/>
      <c r="S783"/>
      <c r="T783"/>
      <c r="U783"/>
      <c r="V783"/>
      <c r="W783"/>
    </row>
    <row r="784" spans="1:23" ht="15.4">
      <c r="A784" s="5">
        <v>508</v>
      </c>
      <c r="B784" s="5">
        <v>18508</v>
      </c>
      <c r="C784" s="5" t="s">
        <v>851</v>
      </c>
      <c r="D784" s="5" t="s">
        <v>852</v>
      </c>
      <c r="E784" s="5" t="s">
        <v>25</v>
      </c>
      <c r="F784" s="6" t="s">
        <v>1360</v>
      </c>
      <c r="G784" s="8">
        <v>45604</v>
      </c>
      <c r="H784" s="8" t="str">
        <f t="shared" si="12"/>
        <v>Nov</v>
      </c>
      <c r="I784" s="5">
        <v>4400</v>
      </c>
      <c r="J784" s="5">
        <v>4400</v>
      </c>
      <c r="K784" s="5">
        <f>student_data[[#This Row],[Total Fee]]-student_data[[#This Row],[Deposit Fee]]</f>
        <v>0</v>
      </c>
      <c r="L784" s="5" t="str">
        <f>IF(student_data[[#This Row],[Outstanding Fee]]=0,"Paid",IF(student_data[[#This Row],[Deposit Fee]]=0,"Unpaid","Partially Paid"))</f>
        <v>Paid</v>
      </c>
      <c r="M784" s="5" t="s">
        <v>22</v>
      </c>
      <c r="N784"/>
      <c r="O784"/>
      <c r="P784"/>
      <c r="Q784"/>
      <c r="R784"/>
      <c r="S784"/>
      <c r="T784"/>
      <c r="U784"/>
      <c r="V784"/>
      <c r="W784"/>
    </row>
    <row r="785" spans="1:23" ht="15.4">
      <c r="A785" s="5">
        <v>715</v>
      </c>
      <c r="B785" s="5">
        <v>18715</v>
      </c>
      <c r="C785" s="5" t="s">
        <v>1118</v>
      </c>
      <c r="D785" s="5" t="s">
        <v>1119</v>
      </c>
      <c r="E785" s="5" t="s">
        <v>25</v>
      </c>
      <c r="F785" s="6" t="s">
        <v>1361</v>
      </c>
      <c r="G785" s="8">
        <v>45604</v>
      </c>
      <c r="H785" s="8" t="str">
        <f t="shared" si="12"/>
        <v>Nov</v>
      </c>
      <c r="I785" s="5">
        <v>5500</v>
      </c>
      <c r="J785" s="5">
        <v>4900</v>
      </c>
      <c r="K785" s="5">
        <f>student_data[[#This Row],[Total Fee]]-student_data[[#This Row],[Deposit Fee]]</f>
        <v>600</v>
      </c>
      <c r="L785" s="5" t="str">
        <f>IF(student_data[[#This Row],[Outstanding Fee]]=0,"Paid",IF(student_data[[#This Row],[Deposit Fee]]=0,"Unpaid","Partially Paid"))</f>
        <v>Partially Paid</v>
      </c>
      <c r="M785" s="5" t="s">
        <v>13</v>
      </c>
      <c r="N785"/>
      <c r="O785"/>
      <c r="P785"/>
      <c r="Q785"/>
      <c r="R785"/>
      <c r="S785"/>
      <c r="T785"/>
      <c r="U785"/>
      <c r="V785"/>
      <c r="W785"/>
    </row>
    <row r="786" spans="1:23" ht="15.4">
      <c r="A786" s="5">
        <v>509</v>
      </c>
      <c r="B786" s="5">
        <v>18509</v>
      </c>
      <c r="C786" s="5" t="s">
        <v>853</v>
      </c>
      <c r="D786" s="5" t="s">
        <v>854</v>
      </c>
      <c r="E786" s="5" t="s">
        <v>9</v>
      </c>
      <c r="F786" s="6" t="s">
        <v>1360</v>
      </c>
      <c r="G786" s="8">
        <v>45605</v>
      </c>
      <c r="H786" s="8" t="str">
        <f t="shared" si="12"/>
        <v>Nov</v>
      </c>
      <c r="I786" s="5">
        <v>4400</v>
      </c>
      <c r="J786" s="5">
        <v>4000</v>
      </c>
      <c r="K786" s="5">
        <f>student_data[[#This Row],[Total Fee]]-student_data[[#This Row],[Deposit Fee]]</f>
        <v>400</v>
      </c>
      <c r="L786" s="5" t="str">
        <f>IF(student_data[[#This Row],[Outstanding Fee]]=0,"Paid",IF(student_data[[#This Row],[Deposit Fee]]=0,"Unpaid","Partially Paid"))</f>
        <v>Partially Paid</v>
      </c>
      <c r="M786" s="5" t="s">
        <v>26</v>
      </c>
      <c r="N786"/>
      <c r="O786"/>
      <c r="P786"/>
      <c r="Q786"/>
      <c r="R786"/>
      <c r="S786"/>
      <c r="T786"/>
      <c r="U786"/>
      <c r="V786"/>
      <c r="W786"/>
    </row>
    <row r="787" spans="1:23" ht="15.4">
      <c r="A787" s="5">
        <v>510</v>
      </c>
      <c r="B787" s="5">
        <v>18510</v>
      </c>
      <c r="C787" s="5" t="s">
        <v>855</v>
      </c>
      <c r="D787" s="5" t="s">
        <v>856</v>
      </c>
      <c r="E787" s="5" t="s">
        <v>9</v>
      </c>
      <c r="F787" s="6" t="s">
        <v>1361</v>
      </c>
      <c r="G787" s="8">
        <v>45605</v>
      </c>
      <c r="H787" s="8" t="str">
        <f t="shared" si="12"/>
        <v>Nov</v>
      </c>
      <c r="I787" s="5">
        <v>5500</v>
      </c>
      <c r="J787" s="5">
        <v>5500</v>
      </c>
      <c r="K787" s="5">
        <f>student_data[[#This Row],[Total Fee]]-student_data[[#This Row],[Deposit Fee]]</f>
        <v>0</v>
      </c>
      <c r="L787" s="5" t="str">
        <f>IF(student_data[[#This Row],[Outstanding Fee]]=0,"Paid",IF(student_data[[#This Row],[Deposit Fee]]=0,"Unpaid","Partially Paid"))</f>
        <v>Paid</v>
      </c>
      <c r="M787" s="5" t="s">
        <v>26</v>
      </c>
      <c r="N787"/>
      <c r="O787"/>
      <c r="P787"/>
      <c r="Q787"/>
      <c r="R787"/>
      <c r="S787"/>
      <c r="T787"/>
      <c r="U787"/>
      <c r="V787"/>
      <c r="W787"/>
    </row>
    <row r="788" spans="1:23" ht="15.4">
      <c r="A788" s="5">
        <v>716</v>
      </c>
      <c r="B788" s="5">
        <v>18716</v>
      </c>
      <c r="C788" s="5" t="s">
        <v>1120</v>
      </c>
      <c r="D788" s="5" t="s">
        <v>1121</v>
      </c>
      <c r="E788" s="5" t="s">
        <v>9</v>
      </c>
      <c r="F788" s="6" t="s">
        <v>1361</v>
      </c>
      <c r="G788" s="8">
        <v>45605</v>
      </c>
      <c r="H788" s="8" t="str">
        <f t="shared" si="12"/>
        <v>Nov</v>
      </c>
      <c r="I788" s="5">
        <v>5500</v>
      </c>
      <c r="J788" s="5">
        <v>4900</v>
      </c>
      <c r="K788" s="5">
        <f>student_data[[#This Row],[Total Fee]]-student_data[[#This Row],[Deposit Fee]]</f>
        <v>600</v>
      </c>
      <c r="L788" s="5" t="str">
        <f>IF(student_data[[#This Row],[Outstanding Fee]]=0,"Paid",IF(student_data[[#This Row],[Deposit Fee]]=0,"Unpaid","Partially Paid"))</f>
        <v>Partially Paid</v>
      </c>
      <c r="M788" s="5" t="s">
        <v>66</v>
      </c>
      <c r="N788"/>
      <c r="O788"/>
      <c r="P788"/>
      <c r="Q788"/>
      <c r="R788"/>
      <c r="S788"/>
      <c r="T788"/>
      <c r="U788"/>
      <c r="V788"/>
      <c r="W788"/>
    </row>
    <row r="789" spans="1:23" ht="15.4">
      <c r="A789" s="5">
        <v>511</v>
      </c>
      <c r="B789" s="5">
        <v>18511</v>
      </c>
      <c r="C789" s="5" t="s">
        <v>857</v>
      </c>
      <c r="D789" s="5" t="s">
        <v>858</v>
      </c>
      <c r="E789" s="5" t="s">
        <v>9</v>
      </c>
      <c r="F789" s="6" t="s">
        <v>1360</v>
      </c>
      <c r="G789" s="8">
        <v>45607</v>
      </c>
      <c r="H789" s="8" t="str">
        <f t="shared" si="12"/>
        <v>Nov</v>
      </c>
      <c r="I789" s="5">
        <v>4400</v>
      </c>
      <c r="J789" s="5">
        <v>4000</v>
      </c>
      <c r="K789" s="5">
        <f>student_data[[#This Row],[Total Fee]]-student_data[[#This Row],[Deposit Fee]]</f>
        <v>400</v>
      </c>
      <c r="L789" s="5" t="str">
        <f>IF(student_data[[#This Row],[Outstanding Fee]]=0,"Paid",IF(student_data[[#This Row],[Deposit Fee]]=0,"Unpaid","Partially Paid"))</f>
        <v>Partially Paid</v>
      </c>
      <c r="M789" s="5" t="s">
        <v>75</v>
      </c>
      <c r="N789"/>
      <c r="O789"/>
      <c r="P789"/>
      <c r="Q789"/>
      <c r="R789"/>
      <c r="S789"/>
      <c r="T789"/>
      <c r="U789"/>
      <c r="V789"/>
      <c r="W789"/>
    </row>
    <row r="790" spans="1:23" ht="15.4">
      <c r="A790" s="5">
        <v>717</v>
      </c>
      <c r="B790" s="5">
        <v>18717</v>
      </c>
      <c r="C790" s="5" t="s">
        <v>954</v>
      </c>
      <c r="D790" s="5" t="s">
        <v>1122</v>
      </c>
      <c r="E790" s="5" t="s">
        <v>9</v>
      </c>
      <c r="F790" s="5" t="s">
        <v>1361</v>
      </c>
      <c r="G790" s="8">
        <v>45607</v>
      </c>
      <c r="H790" s="8" t="str">
        <f t="shared" si="12"/>
        <v>Nov</v>
      </c>
      <c r="I790" s="5">
        <v>5500</v>
      </c>
      <c r="J790" s="5">
        <v>5500</v>
      </c>
      <c r="K790" s="5">
        <f>student_data[[#This Row],[Total Fee]]-student_data[[#This Row],[Deposit Fee]]</f>
        <v>0</v>
      </c>
      <c r="L790" s="5" t="str">
        <f>IF(student_data[[#This Row],[Outstanding Fee]]=0,"Paid",IF(student_data[[#This Row],[Deposit Fee]]=0,"Unpaid","Partially Paid"))</f>
        <v>Paid</v>
      </c>
      <c r="M790" s="5" t="s">
        <v>22</v>
      </c>
      <c r="N790"/>
      <c r="O790"/>
      <c r="P790"/>
      <c r="Q790"/>
      <c r="R790"/>
      <c r="S790"/>
      <c r="T790"/>
      <c r="U790"/>
      <c r="V790"/>
      <c r="W790"/>
    </row>
    <row r="791" spans="1:23" ht="15.4">
      <c r="A791" s="5">
        <v>870</v>
      </c>
      <c r="B791" s="5">
        <v>18870</v>
      </c>
      <c r="C791" s="5" t="s">
        <v>1303</v>
      </c>
      <c r="D791" s="5" t="s">
        <v>1304</v>
      </c>
      <c r="E791" s="5" t="s">
        <v>25</v>
      </c>
      <c r="F791" s="6" t="s">
        <v>1361</v>
      </c>
      <c r="G791" s="8">
        <v>45607</v>
      </c>
      <c r="H791" s="8" t="str">
        <f t="shared" si="12"/>
        <v>Nov</v>
      </c>
      <c r="I791" s="5">
        <v>5500</v>
      </c>
      <c r="J791" s="5">
        <v>2600</v>
      </c>
      <c r="K791" s="5">
        <f>student_data[[#This Row],[Total Fee]]-student_data[[#This Row],[Deposit Fee]]</f>
        <v>2900</v>
      </c>
      <c r="L791" s="5" t="str">
        <f>IF(student_data[[#This Row],[Outstanding Fee]]=0,"Paid",IF(student_data[[#This Row],[Deposit Fee]]=0,"Unpaid","Partially Paid"))</f>
        <v>Partially Paid</v>
      </c>
      <c r="M791" s="5" t="s">
        <v>19</v>
      </c>
      <c r="N791"/>
      <c r="O791"/>
      <c r="P791"/>
      <c r="Q791"/>
      <c r="R791"/>
      <c r="S791"/>
      <c r="T791"/>
      <c r="U791"/>
      <c r="V791"/>
      <c r="W791"/>
    </row>
    <row r="792" spans="1:23" ht="15.4">
      <c r="A792" s="5">
        <v>512</v>
      </c>
      <c r="B792" s="5">
        <v>18512</v>
      </c>
      <c r="C792" s="5" t="s">
        <v>859</v>
      </c>
      <c r="D792" s="5" t="s">
        <v>712</v>
      </c>
      <c r="E792" s="5" t="s">
        <v>25</v>
      </c>
      <c r="F792" s="6" t="s">
        <v>1360</v>
      </c>
      <c r="G792" s="8">
        <v>45608</v>
      </c>
      <c r="H792" s="8" t="str">
        <f t="shared" si="12"/>
        <v>Nov</v>
      </c>
      <c r="I792" s="5">
        <v>4400</v>
      </c>
      <c r="J792" s="5">
        <v>3800</v>
      </c>
      <c r="K792" s="5">
        <f>student_data[[#This Row],[Total Fee]]-student_data[[#This Row],[Deposit Fee]]</f>
        <v>600</v>
      </c>
      <c r="L792" s="5" t="str">
        <f>IF(student_data[[#This Row],[Outstanding Fee]]=0,"Paid",IF(student_data[[#This Row],[Deposit Fee]]=0,"Unpaid","Partially Paid"))</f>
        <v>Partially Paid</v>
      </c>
      <c r="M792" s="5" t="s">
        <v>78</v>
      </c>
      <c r="N792"/>
      <c r="O792"/>
      <c r="P792"/>
      <c r="Q792"/>
      <c r="R792"/>
      <c r="S792"/>
      <c r="T792"/>
      <c r="U792"/>
      <c r="V792"/>
      <c r="W792"/>
    </row>
    <row r="793" spans="1:23" ht="15.4">
      <c r="A793" s="5">
        <v>718</v>
      </c>
      <c r="B793" s="5">
        <v>18718</v>
      </c>
      <c r="C793" s="5" t="s">
        <v>1123</v>
      </c>
      <c r="D793" s="5" t="s">
        <v>502</v>
      </c>
      <c r="E793" s="5" t="s">
        <v>9</v>
      </c>
      <c r="F793" s="6" t="s">
        <v>1361</v>
      </c>
      <c r="G793" s="8">
        <v>45608</v>
      </c>
      <c r="H793" s="8" t="str">
        <f t="shared" si="12"/>
        <v>Nov</v>
      </c>
      <c r="I793" s="5">
        <v>5500</v>
      </c>
      <c r="J793" s="5">
        <v>5100</v>
      </c>
      <c r="K793" s="5">
        <f>student_data[[#This Row],[Total Fee]]-student_data[[#This Row],[Deposit Fee]]</f>
        <v>400</v>
      </c>
      <c r="L793" s="5" t="str">
        <f>IF(student_data[[#This Row],[Outstanding Fee]]=0,"Paid",IF(student_data[[#This Row],[Deposit Fee]]=0,"Unpaid","Partially Paid"))</f>
        <v>Partially Paid</v>
      </c>
      <c r="M793" s="5" t="s">
        <v>26</v>
      </c>
      <c r="N793"/>
      <c r="O793"/>
      <c r="P793"/>
      <c r="Q793"/>
      <c r="R793"/>
      <c r="S793"/>
      <c r="T793"/>
      <c r="U793"/>
      <c r="V793"/>
      <c r="W793"/>
    </row>
    <row r="794" spans="1:23" ht="15.4">
      <c r="A794" s="5">
        <v>871</v>
      </c>
      <c r="B794" s="5">
        <v>18871</v>
      </c>
      <c r="C794" s="5" t="s">
        <v>156</v>
      </c>
      <c r="D794" s="5" t="s">
        <v>1305</v>
      </c>
      <c r="E794" s="5" t="s">
        <v>25</v>
      </c>
      <c r="F794" s="5" t="s">
        <v>1365</v>
      </c>
      <c r="G794" s="8">
        <v>45608</v>
      </c>
      <c r="H794" s="8" t="str">
        <f t="shared" si="12"/>
        <v>Nov</v>
      </c>
      <c r="I794" s="5">
        <v>2200</v>
      </c>
      <c r="J794" s="5">
        <v>1600</v>
      </c>
      <c r="K794" s="5">
        <f>student_data[[#This Row],[Total Fee]]-student_data[[#This Row],[Deposit Fee]]</f>
        <v>600</v>
      </c>
      <c r="L794" s="5" t="str">
        <f>IF(student_data[[#This Row],[Outstanding Fee]]=0,"Paid",IF(student_data[[#This Row],[Deposit Fee]]=0,"Unpaid","Partially Paid"))</f>
        <v>Partially Paid</v>
      </c>
      <c r="M794" s="5" t="s">
        <v>47</v>
      </c>
      <c r="N794"/>
      <c r="O794"/>
      <c r="P794"/>
      <c r="Q794"/>
      <c r="R794"/>
      <c r="S794"/>
      <c r="T794"/>
      <c r="U794"/>
      <c r="V794"/>
      <c r="W794"/>
    </row>
    <row r="795" spans="1:23" ht="15.4">
      <c r="A795" s="5">
        <v>513</v>
      </c>
      <c r="B795" s="5">
        <v>18513</v>
      </c>
      <c r="C795" s="5" t="s">
        <v>859</v>
      </c>
      <c r="D795" s="5" t="s">
        <v>373</v>
      </c>
      <c r="E795" s="5" t="s">
        <v>9</v>
      </c>
      <c r="F795" s="6" t="s">
        <v>1361</v>
      </c>
      <c r="G795" s="8">
        <v>45609</v>
      </c>
      <c r="H795" s="8" t="str">
        <f t="shared" si="12"/>
        <v>Nov</v>
      </c>
      <c r="I795" s="5">
        <v>5500</v>
      </c>
      <c r="J795" s="5">
        <v>5100</v>
      </c>
      <c r="K795" s="5">
        <f>student_data[[#This Row],[Total Fee]]-student_data[[#This Row],[Deposit Fee]]</f>
        <v>400</v>
      </c>
      <c r="L795" s="5" t="str">
        <f>IF(student_data[[#This Row],[Outstanding Fee]]=0,"Paid",IF(student_data[[#This Row],[Deposit Fee]]=0,"Unpaid","Partially Paid"))</f>
        <v>Partially Paid</v>
      </c>
      <c r="M795" s="5" t="s">
        <v>16</v>
      </c>
      <c r="N795"/>
      <c r="O795"/>
      <c r="P795"/>
      <c r="Q795"/>
      <c r="R795"/>
      <c r="S795"/>
      <c r="T795"/>
      <c r="U795"/>
      <c r="V795"/>
      <c r="W795"/>
    </row>
    <row r="796" spans="1:23" ht="15.4">
      <c r="A796" s="5">
        <v>514</v>
      </c>
      <c r="B796" s="5">
        <v>18514</v>
      </c>
      <c r="C796" s="5" t="s">
        <v>860</v>
      </c>
      <c r="D796" s="5" t="s">
        <v>861</v>
      </c>
      <c r="E796" s="5" t="s">
        <v>9</v>
      </c>
      <c r="F796" s="6" t="s">
        <v>1361</v>
      </c>
      <c r="G796" s="8">
        <v>45609</v>
      </c>
      <c r="H796" s="8" t="str">
        <f t="shared" si="12"/>
        <v>Nov</v>
      </c>
      <c r="I796" s="5">
        <v>5500</v>
      </c>
      <c r="J796" s="5">
        <v>4900</v>
      </c>
      <c r="K796" s="5">
        <f>student_data[[#This Row],[Total Fee]]-student_data[[#This Row],[Deposit Fee]]</f>
        <v>600</v>
      </c>
      <c r="L796" s="5" t="str">
        <f>IF(student_data[[#This Row],[Outstanding Fee]]=0,"Paid",IF(student_data[[#This Row],[Deposit Fee]]=0,"Unpaid","Partially Paid"))</f>
        <v>Partially Paid</v>
      </c>
      <c r="M796" s="5" t="s">
        <v>66</v>
      </c>
      <c r="N796"/>
      <c r="O796"/>
      <c r="P796"/>
      <c r="Q796"/>
      <c r="R796"/>
      <c r="S796"/>
      <c r="T796"/>
      <c r="U796"/>
      <c r="V796"/>
      <c r="W796"/>
    </row>
    <row r="797" spans="1:23" ht="15.4">
      <c r="A797" s="5">
        <v>654</v>
      </c>
      <c r="B797" s="5">
        <v>18654</v>
      </c>
      <c r="C797" s="5" t="s">
        <v>1025</v>
      </c>
      <c r="D797" s="5" t="s">
        <v>1026</v>
      </c>
      <c r="E797" s="5" t="s">
        <v>9</v>
      </c>
      <c r="F797" s="6" t="s">
        <v>1361</v>
      </c>
      <c r="G797" s="8">
        <v>45609</v>
      </c>
      <c r="H797" s="8" t="str">
        <f t="shared" si="12"/>
        <v>Nov</v>
      </c>
      <c r="I797" s="5">
        <v>5500</v>
      </c>
      <c r="J797" s="5">
        <v>4900</v>
      </c>
      <c r="K797" s="5">
        <f>student_data[[#This Row],[Total Fee]]-student_data[[#This Row],[Deposit Fee]]</f>
        <v>600</v>
      </c>
      <c r="L797" s="5" t="str">
        <f>IF(student_data[[#This Row],[Outstanding Fee]]=0,"Paid",IF(student_data[[#This Row],[Deposit Fee]]=0,"Unpaid","Partially Paid"))</f>
        <v>Partially Paid</v>
      </c>
      <c r="M797" s="5" t="s">
        <v>47</v>
      </c>
      <c r="N797"/>
      <c r="O797"/>
      <c r="P797"/>
      <c r="Q797"/>
      <c r="R797"/>
      <c r="S797"/>
      <c r="T797"/>
      <c r="U797"/>
      <c r="V797"/>
      <c r="W797"/>
    </row>
    <row r="798" spans="1:23" ht="15.4">
      <c r="A798" s="5">
        <v>515</v>
      </c>
      <c r="B798" s="5">
        <v>18515</v>
      </c>
      <c r="C798" s="5" t="s">
        <v>532</v>
      </c>
      <c r="D798" s="5" t="s">
        <v>862</v>
      </c>
      <c r="E798" s="5" t="s">
        <v>9</v>
      </c>
      <c r="F798" s="6" t="s">
        <v>1361</v>
      </c>
      <c r="G798" s="8">
        <v>45610</v>
      </c>
      <c r="H798" s="8" t="str">
        <f t="shared" si="12"/>
        <v>Nov</v>
      </c>
      <c r="I798" s="5">
        <v>5500</v>
      </c>
      <c r="J798" s="5">
        <v>5500</v>
      </c>
      <c r="K798" s="5">
        <f>student_data[[#This Row],[Total Fee]]-student_data[[#This Row],[Deposit Fee]]</f>
        <v>0</v>
      </c>
      <c r="L798" s="5" t="str">
        <f>IF(student_data[[#This Row],[Outstanding Fee]]=0,"Paid",IF(student_data[[#This Row],[Deposit Fee]]=0,"Unpaid","Partially Paid"))</f>
        <v>Paid</v>
      </c>
      <c r="M798" s="5" t="s">
        <v>66</v>
      </c>
      <c r="N798"/>
      <c r="O798"/>
      <c r="P798"/>
      <c r="Q798"/>
      <c r="R798"/>
      <c r="S798"/>
      <c r="T798"/>
      <c r="U798"/>
      <c r="V798"/>
      <c r="W798"/>
    </row>
    <row r="799" spans="1:23" ht="15.4">
      <c r="A799" s="5">
        <v>516</v>
      </c>
      <c r="B799" s="5">
        <v>18516</v>
      </c>
      <c r="C799" s="5" t="s">
        <v>863</v>
      </c>
      <c r="D799" s="5" t="s">
        <v>864</v>
      </c>
      <c r="E799" s="5" t="s">
        <v>25</v>
      </c>
      <c r="F799" s="6" t="s">
        <v>1360</v>
      </c>
      <c r="G799" s="8">
        <v>45610</v>
      </c>
      <c r="H799" s="8" t="str">
        <f t="shared" si="12"/>
        <v>Nov</v>
      </c>
      <c r="I799" s="5">
        <v>4400</v>
      </c>
      <c r="J799" s="5">
        <v>3800</v>
      </c>
      <c r="K799" s="5">
        <f>student_data[[#This Row],[Total Fee]]-student_data[[#This Row],[Deposit Fee]]</f>
        <v>600</v>
      </c>
      <c r="L799" s="5" t="str">
        <f>IF(student_data[[#This Row],[Outstanding Fee]]=0,"Paid",IF(student_data[[#This Row],[Deposit Fee]]=0,"Unpaid","Partially Paid"))</f>
        <v>Partially Paid</v>
      </c>
      <c r="M799" s="5" t="s">
        <v>32</v>
      </c>
      <c r="N799"/>
      <c r="O799"/>
      <c r="P799"/>
      <c r="Q799"/>
      <c r="R799"/>
      <c r="S799"/>
      <c r="T799"/>
      <c r="U799"/>
      <c r="V799"/>
      <c r="W799"/>
    </row>
    <row r="800" spans="1:23" ht="15.4">
      <c r="A800" s="5">
        <v>517</v>
      </c>
      <c r="B800" s="5">
        <v>18517</v>
      </c>
      <c r="C800" s="5" t="s">
        <v>863</v>
      </c>
      <c r="D800" s="5" t="s">
        <v>311</v>
      </c>
      <c r="E800" s="5" t="s">
        <v>25</v>
      </c>
      <c r="F800" s="6" t="s">
        <v>1361</v>
      </c>
      <c r="G800" s="8">
        <v>45610</v>
      </c>
      <c r="H800" s="8" t="str">
        <f t="shared" si="12"/>
        <v>Nov</v>
      </c>
      <c r="I800" s="5">
        <v>5500</v>
      </c>
      <c r="J800" s="5">
        <v>5500</v>
      </c>
      <c r="K800" s="5">
        <f>student_data[[#This Row],[Total Fee]]-student_data[[#This Row],[Deposit Fee]]</f>
        <v>0</v>
      </c>
      <c r="L800" s="5" t="str">
        <f>IF(student_data[[#This Row],[Outstanding Fee]]=0,"Paid",IF(student_data[[#This Row],[Deposit Fee]]=0,"Unpaid","Partially Paid"))</f>
        <v>Paid</v>
      </c>
      <c r="M800" s="5" t="s">
        <v>32</v>
      </c>
      <c r="N800"/>
      <c r="O800"/>
      <c r="P800"/>
      <c r="Q800"/>
      <c r="R800"/>
      <c r="S800"/>
      <c r="T800"/>
      <c r="U800"/>
      <c r="V800"/>
      <c r="W800"/>
    </row>
    <row r="801" spans="1:23" ht="15.4">
      <c r="A801" s="5">
        <v>518</v>
      </c>
      <c r="B801" s="5">
        <v>18518</v>
      </c>
      <c r="C801" s="5" t="s">
        <v>865</v>
      </c>
      <c r="D801" s="5" t="s">
        <v>866</v>
      </c>
      <c r="E801" s="5" t="s">
        <v>25</v>
      </c>
      <c r="F801" s="6" t="s">
        <v>1360</v>
      </c>
      <c r="G801" s="8">
        <v>45611</v>
      </c>
      <c r="H801" s="8" t="str">
        <f t="shared" si="12"/>
        <v>Nov</v>
      </c>
      <c r="I801" s="5">
        <v>4400</v>
      </c>
      <c r="J801" s="5">
        <v>4400</v>
      </c>
      <c r="K801" s="5">
        <f>student_data[[#This Row],[Total Fee]]-student_data[[#This Row],[Deposit Fee]]</f>
        <v>0</v>
      </c>
      <c r="L801" s="5" t="str">
        <f>IF(student_data[[#This Row],[Outstanding Fee]]=0,"Paid",IF(student_data[[#This Row],[Deposit Fee]]=0,"Unpaid","Partially Paid"))</f>
        <v>Paid</v>
      </c>
      <c r="M801" s="5" t="s">
        <v>89</v>
      </c>
      <c r="N801"/>
      <c r="O801"/>
      <c r="P801"/>
      <c r="Q801"/>
      <c r="R801"/>
      <c r="S801"/>
      <c r="T801"/>
      <c r="U801"/>
      <c r="V801"/>
      <c r="W801"/>
    </row>
    <row r="802" spans="1:23" ht="15.4">
      <c r="A802" s="5">
        <v>519</v>
      </c>
      <c r="B802" s="5">
        <v>18519</v>
      </c>
      <c r="C802" s="5" t="s">
        <v>867</v>
      </c>
      <c r="D802" s="5" t="s">
        <v>868</v>
      </c>
      <c r="E802" s="5" t="s">
        <v>9</v>
      </c>
      <c r="F802" s="6" t="s">
        <v>1360</v>
      </c>
      <c r="G802" s="8">
        <v>45611</v>
      </c>
      <c r="H802" s="8" t="str">
        <f t="shared" si="12"/>
        <v>Nov</v>
      </c>
      <c r="I802" s="5">
        <v>4400</v>
      </c>
      <c r="J802" s="5">
        <v>4400</v>
      </c>
      <c r="K802" s="5">
        <f>student_data[[#This Row],[Total Fee]]-student_data[[#This Row],[Deposit Fee]]</f>
        <v>0</v>
      </c>
      <c r="L802" s="5" t="str">
        <f>IF(student_data[[#This Row],[Outstanding Fee]]=0,"Paid",IF(student_data[[#This Row],[Deposit Fee]]=0,"Unpaid","Partially Paid"))</f>
        <v>Paid</v>
      </c>
      <c r="M802" s="5" t="s">
        <v>19</v>
      </c>
      <c r="N802"/>
      <c r="O802"/>
      <c r="P802"/>
      <c r="Q802"/>
      <c r="R802"/>
      <c r="S802"/>
      <c r="T802"/>
      <c r="U802"/>
      <c r="V802"/>
      <c r="W802"/>
    </row>
    <row r="803" spans="1:23" ht="15.4">
      <c r="A803" s="5">
        <v>719</v>
      </c>
      <c r="B803" s="5">
        <v>18719</v>
      </c>
      <c r="C803" s="5" t="s">
        <v>1123</v>
      </c>
      <c r="D803" s="5" t="s">
        <v>1124</v>
      </c>
      <c r="E803" s="5" t="s">
        <v>9</v>
      </c>
      <c r="F803" s="6" t="s">
        <v>1360</v>
      </c>
      <c r="G803" s="8">
        <v>45611</v>
      </c>
      <c r="H803" s="8" t="str">
        <f t="shared" si="12"/>
        <v>Nov</v>
      </c>
      <c r="I803" s="5">
        <v>4400</v>
      </c>
      <c r="J803" s="5">
        <v>4400</v>
      </c>
      <c r="K803" s="5">
        <f>student_data[[#This Row],[Total Fee]]-student_data[[#This Row],[Deposit Fee]]</f>
        <v>0</v>
      </c>
      <c r="L803" s="5" t="str">
        <f>IF(student_data[[#This Row],[Outstanding Fee]]=0,"Paid",IF(student_data[[#This Row],[Deposit Fee]]=0,"Unpaid","Partially Paid"))</f>
        <v>Paid</v>
      </c>
      <c r="M803" s="5" t="s">
        <v>26</v>
      </c>
      <c r="N803"/>
      <c r="O803"/>
      <c r="P803"/>
      <c r="Q803"/>
      <c r="R803"/>
      <c r="S803"/>
      <c r="T803"/>
      <c r="U803"/>
      <c r="V803"/>
      <c r="W803"/>
    </row>
    <row r="804" spans="1:23" ht="15.4">
      <c r="A804" s="5">
        <v>520</v>
      </c>
      <c r="B804" s="5">
        <v>18520</v>
      </c>
      <c r="C804" s="5" t="s">
        <v>869</v>
      </c>
      <c r="D804" s="5" t="s">
        <v>870</v>
      </c>
      <c r="E804" s="5" t="s">
        <v>9</v>
      </c>
      <c r="F804" s="6" t="s">
        <v>1360</v>
      </c>
      <c r="G804" s="8">
        <v>45612</v>
      </c>
      <c r="H804" s="8" t="str">
        <f t="shared" si="12"/>
        <v>Nov</v>
      </c>
      <c r="I804" s="5">
        <v>4400</v>
      </c>
      <c r="J804" s="5">
        <v>3800</v>
      </c>
      <c r="K804" s="5">
        <f>student_data[[#This Row],[Total Fee]]-student_data[[#This Row],[Deposit Fee]]</f>
        <v>600</v>
      </c>
      <c r="L804" s="5" t="str">
        <f>IF(student_data[[#This Row],[Outstanding Fee]]=0,"Paid",IF(student_data[[#This Row],[Deposit Fee]]=0,"Unpaid","Partially Paid"))</f>
        <v>Partially Paid</v>
      </c>
      <c r="M804" s="5" t="s">
        <v>47</v>
      </c>
      <c r="N804"/>
      <c r="O804"/>
      <c r="P804"/>
      <c r="Q804"/>
      <c r="R804"/>
      <c r="S804"/>
      <c r="T804"/>
      <c r="U804"/>
      <c r="V804"/>
      <c r="W804"/>
    </row>
    <row r="805" spans="1:23" ht="15.4">
      <c r="A805" s="5">
        <v>749</v>
      </c>
      <c r="B805" s="5">
        <v>18749</v>
      </c>
      <c r="C805" s="5" t="s">
        <v>1162</v>
      </c>
      <c r="D805" s="5" t="s">
        <v>1029</v>
      </c>
      <c r="E805" s="5" t="s">
        <v>9</v>
      </c>
      <c r="F805" s="6" t="s">
        <v>1361</v>
      </c>
      <c r="G805" s="8">
        <v>45612</v>
      </c>
      <c r="H805" s="8" t="str">
        <f t="shared" si="12"/>
        <v>Nov</v>
      </c>
      <c r="I805" s="5">
        <v>5500</v>
      </c>
      <c r="J805" s="5">
        <v>5500</v>
      </c>
      <c r="K805" s="5">
        <f>student_data[[#This Row],[Total Fee]]-student_data[[#This Row],[Deposit Fee]]</f>
        <v>0</v>
      </c>
      <c r="L805" s="5" t="str">
        <f>IF(student_data[[#This Row],[Outstanding Fee]]=0,"Paid",IF(student_data[[#This Row],[Deposit Fee]]=0,"Unpaid","Partially Paid"))</f>
        <v>Paid</v>
      </c>
      <c r="M805" s="5" t="s">
        <v>66</v>
      </c>
      <c r="N805"/>
      <c r="O805"/>
      <c r="P805"/>
      <c r="Q805"/>
      <c r="R805"/>
      <c r="S805"/>
      <c r="T805"/>
      <c r="U805"/>
      <c r="V805"/>
      <c r="W805"/>
    </row>
    <row r="806" spans="1:23" ht="15.4">
      <c r="A806" s="5">
        <v>872</v>
      </c>
      <c r="B806" s="5">
        <v>18872</v>
      </c>
      <c r="C806" s="5" t="s">
        <v>1306</v>
      </c>
      <c r="D806" s="5" t="s">
        <v>410</v>
      </c>
      <c r="E806" s="5" t="s">
        <v>9</v>
      </c>
      <c r="F806" s="5" t="s">
        <v>1363</v>
      </c>
      <c r="G806" s="8">
        <v>45612</v>
      </c>
      <c r="H806" s="8" t="str">
        <f t="shared" si="12"/>
        <v>Nov</v>
      </c>
      <c r="I806" s="5">
        <v>7500</v>
      </c>
      <c r="J806" s="5">
        <v>7500</v>
      </c>
      <c r="K806" s="5">
        <f>student_data[[#This Row],[Total Fee]]-student_data[[#This Row],[Deposit Fee]]</f>
        <v>0</v>
      </c>
      <c r="L806" s="5" t="str">
        <f>IF(student_data[[#This Row],[Outstanding Fee]]=0,"Paid",IF(student_data[[#This Row],[Deposit Fee]]=0,"Unpaid","Partially Paid"))</f>
        <v>Paid</v>
      </c>
      <c r="M806" s="5" t="s">
        <v>19</v>
      </c>
      <c r="N806"/>
      <c r="O806"/>
      <c r="P806"/>
      <c r="Q806"/>
      <c r="R806"/>
      <c r="S806"/>
      <c r="T806"/>
      <c r="U806"/>
      <c r="V806"/>
      <c r="W806"/>
    </row>
    <row r="807" spans="1:23" ht="15.4">
      <c r="A807" s="5">
        <v>521</v>
      </c>
      <c r="B807" s="5">
        <v>18521</v>
      </c>
      <c r="C807" s="5" t="s">
        <v>871</v>
      </c>
      <c r="D807" s="5" t="s">
        <v>872</v>
      </c>
      <c r="E807" s="5" t="s">
        <v>25</v>
      </c>
      <c r="F807" s="6" t="s">
        <v>1360</v>
      </c>
      <c r="G807" s="8">
        <v>45614</v>
      </c>
      <c r="H807" s="8" t="str">
        <f t="shared" si="12"/>
        <v>Nov</v>
      </c>
      <c r="I807" s="5">
        <v>4400</v>
      </c>
      <c r="J807" s="5">
        <v>3800</v>
      </c>
      <c r="K807" s="5">
        <f>student_data[[#This Row],[Total Fee]]-student_data[[#This Row],[Deposit Fee]]</f>
        <v>600</v>
      </c>
      <c r="L807" s="5" t="str">
        <f>IF(student_data[[#This Row],[Outstanding Fee]]=0,"Paid",IF(student_data[[#This Row],[Deposit Fee]]=0,"Unpaid","Partially Paid"))</f>
        <v>Partially Paid</v>
      </c>
      <c r="M807" s="5" t="s">
        <v>75</v>
      </c>
      <c r="N807"/>
      <c r="O807"/>
      <c r="P807"/>
      <c r="Q807"/>
      <c r="R807"/>
      <c r="S807"/>
      <c r="T807"/>
      <c r="U807"/>
      <c r="V807"/>
      <c r="W807"/>
    </row>
    <row r="808" spans="1:23" ht="15.4">
      <c r="A808" s="5">
        <v>522</v>
      </c>
      <c r="B808" s="5">
        <v>18522</v>
      </c>
      <c r="C808" s="5" t="s">
        <v>873</v>
      </c>
      <c r="D808" s="5" t="s">
        <v>874</v>
      </c>
      <c r="E808" s="5" t="s">
        <v>25</v>
      </c>
      <c r="F808" s="6" t="s">
        <v>1360</v>
      </c>
      <c r="G808" s="8">
        <v>45614</v>
      </c>
      <c r="H808" s="8" t="str">
        <f t="shared" si="12"/>
        <v>Nov</v>
      </c>
      <c r="I808" s="5">
        <v>4400</v>
      </c>
      <c r="J808" s="5">
        <v>4400</v>
      </c>
      <c r="K808" s="5">
        <f>student_data[[#This Row],[Total Fee]]-student_data[[#This Row],[Deposit Fee]]</f>
        <v>0</v>
      </c>
      <c r="L808" s="5" t="str">
        <f>IF(student_data[[#This Row],[Outstanding Fee]]=0,"Paid",IF(student_data[[#This Row],[Deposit Fee]]=0,"Unpaid","Partially Paid"))</f>
        <v>Paid</v>
      </c>
      <c r="M808" s="5" t="s">
        <v>89</v>
      </c>
      <c r="N808"/>
      <c r="O808"/>
      <c r="P808"/>
      <c r="Q808"/>
      <c r="R808"/>
      <c r="S808"/>
      <c r="T808"/>
      <c r="U808"/>
      <c r="V808"/>
      <c r="W808"/>
    </row>
    <row r="809" spans="1:23" ht="15.4">
      <c r="A809" s="5">
        <v>720</v>
      </c>
      <c r="B809" s="5">
        <v>18720</v>
      </c>
      <c r="C809" s="5" t="s">
        <v>156</v>
      </c>
      <c r="D809" s="5" t="s">
        <v>1125</v>
      </c>
      <c r="E809" s="5" t="s">
        <v>25</v>
      </c>
      <c r="F809" s="6" t="s">
        <v>1361</v>
      </c>
      <c r="G809" s="8">
        <v>45614</v>
      </c>
      <c r="H809" s="8" t="str">
        <f t="shared" si="12"/>
        <v>Nov</v>
      </c>
      <c r="I809" s="5">
        <v>5500</v>
      </c>
      <c r="J809" s="5">
        <v>4900</v>
      </c>
      <c r="K809" s="5">
        <f>student_data[[#This Row],[Total Fee]]-student_data[[#This Row],[Deposit Fee]]</f>
        <v>600</v>
      </c>
      <c r="L809" s="5" t="str">
        <f>IF(student_data[[#This Row],[Outstanding Fee]]=0,"Paid",IF(student_data[[#This Row],[Deposit Fee]]=0,"Unpaid","Partially Paid"))</f>
        <v>Partially Paid</v>
      </c>
      <c r="M809" s="5" t="s">
        <v>75</v>
      </c>
      <c r="N809"/>
      <c r="O809"/>
      <c r="P809"/>
      <c r="Q809"/>
      <c r="R809"/>
      <c r="S809"/>
      <c r="T809"/>
      <c r="U809"/>
      <c r="V809"/>
      <c r="W809"/>
    </row>
    <row r="810" spans="1:23" ht="15.4">
      <c r="A810" s="5">
        <v>523</v>
      </c>
      <c r="B810" s="5">
        <v>18523</v>
      </c>
      <c r="C810" s="5" t="s">
        <v>875</v>
      </c>
      <c r="D810" s="5" t="s">
        <v>216</v>
      </c>
      <c r="E810" s="5" t="s">
        <v>9</v>
      </c>
      <c r="F810" s="6" t="s">
        <v>1361</v>
      </c>
      <c r="G810" s="8">
        <v>45615</v>
      </c>
      <c r="H810" s="8" t="str">
        <f t="shared" si="12"/>
        <v>Nov</v>
      </c>
      <c r="I810" s="5">
        <v>5500</v>
      </c>
      <c r="J810" s="5">
        <v>4900</v>
      </c>
      <c r="K810" s="5">
        <f>student_data[[#This Row],[Total Fee]]-student_data[[#This Row],[Deposit Fee]]</f>
        <v>600</v>
      </c>
      <c r="L810" s="5" t="str">
        <f>IF(student_data[[#This Row],[Outstanding Fee]]=0,"Paid",IF(student_data[[#This Row],[Deposit Fee]]=0,"Unpaid","Partially Paid"))</f>
        <v>Partially Paid</v>
      </c>
      <c r="M810" s="5" t="s">
        <v>29</v>
      </c>
      <c r="N810"/>
      <c r="O810"/>
      <c r="P810"/>
      <c r="Q810"/>
      <c r="R810"/>
      <c r="S810"/>
      <c r="T810"/>
      <c r="U810"/>
      <c r="V810"/>
      <c r="W810"/>
    </row>
    <row r="811" spans="1:23" ht="15.4">
      <c r="A811" s="5">
        <v>721</v>
      </c>
      <c r="B811" s="5">
        <v>18721</v>
      </c>
      <c r="C811" s="5" t="s">
        <v>1126</v>
      </c>
      <c r="D811" s="5" t="s">
        <v>1127</v>
      </c>
      <c r="E811" s="5" t="s">
        <v>9</v>
      </c>
      <c r="F811" s="6" t="s">
        <v>1361</v>
      </c>
      <c r="G811" s="8">
        <v>45615</v>
      </c>
      <c r="H811" s="8" t="str">
        <f t="shared" si="12"/>
        <v>Nov</v>
      </c>
      <c r="I811" s="5">
        <v>5500</v>
      </c>
      <c r="J811" s="5">
        <v>5500</v>
      </c>
      <c r="K811" s="5">
        <f>student_data[[#This Row],[Total Fee]]-student_data[[#This Row],[Deposit Fee]]</f>
        <v>0</v>
      </c>
      <c r="L811" s="5" t="str">
        <f>IF(student_data[[#This Row],[Outstanding Fee]]=0,"Paid",IF(student_data[[#This Row],[Deposit Fee]]=0,"Unpaid","Partially Paid"))</f>
        <v>Paid</v>
      </c>
      <c r="M811" s="5" t="s">
        <v>78</v>
      </c>
      <c r="N811"/>
      <c r="O811"/>
      <c r="P811"/>
      <c r="Q811"/>
      <c r="R811"/>
      <c r="S811"/>
      <c r="T811"/>
      <c r="U811"/>
      <c r="V811"/>
      <c r="W811"/>
    </row>
    <row r="812" spans="1:23" ht="15.4">
      <c r="A812" s="5">
        <v>722</v>
      </c>
      <c r="B812" s="5">
        <v>18722</v>
      </c>
      <c r="C812" s="5" t="s">
        <v>1128</v>
      </c>
      <c r="D812" s="5" t="s">
        <v>1129</v>
      </c>
      <c r="E812" s="5" t="s">
        <v>9</v>
      </c>
      <c r="F812" s="5" t="s">
        <v>1363</v>
      </c>
      <c r="G812" s="8">
        <v>45615</v>
      </c>
      <c r="H812" s="8" t="str">
        <f t="shared" si="12"/>
        <v>Nov</v>
      </c>
      <c r="I812" s="5">
        <v>7500</v>
      </c>
      <c r="J812" s="5">
        <v>7500</v>
      </c>
      <c r="K812" s="5">
        <f>student_data[[#This Row],[Total Fee]]-student_data[[#This Row],[Deposit Fee]]</f>
        <v>0</v>
      </c>
      <c r="L812" s="5" t="str">
        <f>IF(student_data[[#This Row],[Outstanding Fee]]=0,"Paid",IF(student_data[[#This Row],[Deposit Fee]]=0,"Unpaid","Partially Paid"))</f>
        <v>Paid</v>
      </c>
      <c r="M812" s="5" t="s">
        <v>16</v>
      </c>
      <c r="N812"/>
      <c r="O812"/>
      <c r="P812"/>
      <c r="Q812"/>
      <c r="R812"/>
      <c r="S812"/>
      <c r="T812"/>
      <c r="U812"/>
      <c r="V812"/>
      <c r="W812"/>
    </row>
    <row r="813" spans="1:23" ht="15.4">
      <c r="A813" s="5">
        <v>723</v>
      </c>
      <c r="B813" s="5">
        <v>18723</v>
      </c>
      <c r="C813" s="5" t="s">
        <v>962</v>
      </c>
      <c r="D813" s="5" t="s">
        <v>1130</v>
      </c>
      <c r="E813" s="5" t="s">
        <v>25</v>
      </c>
      <c r="F813" s="6" t="s">
        <v>1360</v>
      </c>
      <c r="G813" s="8">
        <v>45616</v>
      </c>
      <c r="H813" s="8" t="str">
        <f t="shared" si="12"/>
        <v>Nov</v>
      </c>
      <c r="I813" s="5">
        <v>4400</v>
      </c>
      <c r="J813" s="5">
        <v>4400</v>
      </c>
      <c r="K813" s="5">
        <f>student_data[[#This Row],[Total Fee]]-student_data[[#This Row],[Deposit Fee]]</f>
        <v>0</v>
      </c>
      <c r="L813" s="5" t="str">
        <f>IF(student_data[[#This Row],[Outstanding Fee]]=0,"Paid",IF(student_data[[#This Row],[Deposit Fee]]=0,"Unpaid","Partially Paid"))</f>
        <v>Paid</v>
      </c>
      <c r="M813" s="5" t="s">
        <v>66</v>
      </c>
      <c r="N813"/>
      <c r="O813"/>
      <c r="P813"/>
      <c r="Q813"/>
      <c r="R813"/>
      <c r="S813"/>
      <c r="T813"/>
      <c r="U813"/>
      <c r="V813"/>
      <c r="W813"/>
    </row>
    <row r="814" spans="1:23" ht="15.4">
      <c r="A814" s="5">
        <v>724</v>
      </c>
      <c r="B814" s="5">
        <v>18724</v>
      </c>
      <c r="C814" s="5" t="s">
        <v>1131</v>
      </c>
      <c r="D814" s="5" t="s">
        <v>1132</v>
      </c>
      <c r="E814" s="5" t="s">
        <v>9</v>
      </c>
      <c r="F814" s="6" t="s">
        <v>1361</v>
      </c>
      <c r="G814" s="8">
        <v>45616</v>
      </c>
      <c r="H814" s="8" t="str">
        <f t="shared" si="12"/>
        <v>Nov</v>
      </c>
      <c r="I814" s="5">
        <v>5500</v>
      </c>
      <c r="J814" s="5">
        <v>5500</v>
      </c>
      <c r="K814" s="5">
        <f>student_data[[#This Row],[Total Fee]]-student_data[[#This Row],[Deposit Fee]]</f>
        <v>0</v>
      </c>
      <c r="L814" s="5" t="str">
        <f>IF(student_data[[#This Row],[Outstanding Fee]]=0,"Paid",IF(student_data[[#This Row],[Deposit Fee]]=0,"Unpaid","Partially Paid"))</f>
        <v>Paid</v>
      </c>
      <c r="M814" s="5" t="s">
        <v>66</v>
      </c>
      <c r="N814"/>
      <c r="O814"/>
      <c r="P814"/>
      <c r="Q814"/>
      <c r="R814"/>
      <c r="S814"/>
      <c r="T814"/>
      <c r="U814"/>
      <c r="V814"/>
      <c r="W814"/>
    </row>
    <row r="815" spans="1:23" ht="15.4">
      <c r="A815" s="5">
        <v>873</v>
      </c>
      <c r="B815" s="5">
        <v>18873</v>
      </c>
      <c r="C815" s="5" t="s">
        <v>60</v>
      </c>
      <c r="D815" s="5" t="s">
        <v>1001</v>
      </c>
      <c r="E815" s="5" t="s">
        <v>9</v>
      </c>
      <c r="F815" s="6" t="s">
        <v>1361</v>
      </c>
      <c r="G815" s="8">
        <v>45616</v>
      </c>
      <c r="H815" s="8" t="str">
        <f t="shared" si="12"/>
        <v>Nov</v>
      </c>
      <c r="I815" s="5">
        <v>5500</v>
      </c>
      <c r="J815" s="5">
        <v>5500</v>
      </c>
      <c r="K815" s="5">
        <f>student_data[[#This Row],[Total Fee]]-student_data[[#This Row],[Deposit Fee]]</f>
        <v>0</v>
      </c>
      <c r="L815" s="5" t="str">
        <f>IF(student_data[[#This Row],[Outstanding Fee]]=0,"Paid",IF(student_data[[#This Row],[Deposit Fee]]=0,"Unpaid","Partially Paid"))</f>
        <v>Paid</v>
      </c>
      <c r="M815" s="5" t="s">
        <v>47</v>
      </c>
      <c r="N815"/>
      <c r="O815"/>
      <c r="P815"/>
      <c r="Q815"/>
      <c r="R815"/>
      <c r="S815"/>
      <c r="T815"/>
      <c r="U815"/>
      <c r="V815"/>
      <c r="W815"/>
    </row>
    <row r="816" spans="1:23" ht="15.4">
      <c r="A816" s="5">
        <v>524</v>
      </c>
      <c r="B816" s="5">
        <v>18524</v>
      </c>
      <c r="C816" s="5" t="s">
        <v>876</v>
      </c>
      <c r="D816" s="5" t="s">
        <v>246</v>
      </c>
      <c r="E816" s="5" t="s">
        <v>9</v>
      </c>
      <c r="F816" s="6" t="s">
        <v>1360</v>
      </c>
      <c r="G816" s="8">
        <v>45617</v>
      </c>
      <c r="H816" s="8" t="str">
        <f t="shared" si="12"/>
        <v>Nov</v>
      </c>
      <c r="I816" s="5">
        <v>4400</v>
      </c>
      <c r="J816" s="5">
        <v>4400</v>
      </c>
      <c r="K816" s="5">
        <f>student_data[[#This Row],[Total Fee]]-student_data[[#This Row],[Deposit Fee]]</f>
        <v>0</v>
      </c>
      <c r="L816" s="5" t="str">
        <f>IF(student_data[[#This Row],[Outstanding Fee]]=0,"Paid",IF(student_data[[#This Row],[Deposit Fee]]=0,"Unpaid","Partially Paid"))</f>
        <v>Paid</v>
      </c>
      <c r="M816" s="5" t="s">
        <v>10</v>
      </c>
      <c r="N816"/>
      <c r="O816"/>
      <c r="P816"/>
      <c r="Q816"/>
      <c r="R816"/>
      <c r="S816"/>
      <c r="T816"/>
      <c r="U816"/>
      <c r="V816"/>
      <c r="W816"/>
    </row>
    <row r="817" spans="1:23" ht="15.4">
      <c r="A817" s="5">
        <v>725</v>
      </c>
      <c r="B817" s="5">
        <v>18725</v>
      </c>
      <c r="C817" s="5" t="s">
        <v>1133</v>
      </c>
      <c r="D817" s="5" t="s">
        <v>1134</v>
      </c>
      <c r="E817" s="5" t="s">
        <v>25</v>
      </c>
      <c r="F817" s="6" t="s">
        <v>1361</v>
      </c>
      <c r="G817" s="8">
        <v>45617</v>
      </c>
      <c r="H817" s="8" t="str">
        <f t="shared" si="12"/>
        <v>Nov</v>
      </c>
      <c r="I817" s="5">
        <v>5500</v>
      </c>
      <c r="J817" s="5">
        <v>5100</v>
      </c>
      <c r="K817" s="5">
        <f>student_data[[#This Row],[Total Fee]]-student_data[[#This Row],[Deposit Fee]]</f>
        <v>400</v>
      </c>
      <c r="L817" s="5" t="str">
        <f>IF(student_data[[#This Row],[Outstanding Fee]]=0,"Paid",IF(student_data[[#This Row],[Deposit Fee]]=0,"Unpaid","Partially Paid"))</f>
        <v>Partially Paid</v>
      </c>
      <c r="M817" s="5" t="s">
        <v>32</v>
      </c>
      <c r="N817"/>
      <c r="O817"/>
      <c r="P817"/>
      <c r="Q817"/>
      <c r="R817"/>
      <c r="S817"/>
      <c r="T817"/>
      <c r="U817"/>
      <c r="V817"/>
      <c r="W817"/>
    </row>
    <row r="818" spans="1:23" ht="15.4">
      <c r="A818" s="5">
        <v>726</v>
      </c>
      <c r="B818" s="5">
        <v>18726</v>
      </c>
      <c r="C818" s="5" t="s">
        <v>962</v>
      </c>
      <c r="D818" s="5" t="s">
        <v>130</v>
      </c>
      <c r="E818" s="5" t="s">
        <v>25</v>
      </c>
      <c r="F818" s="5" t="s">
        <v>1364</v>
      </c>
      <c r="G818" s="8">
        <v>45617</v>
      </c>
      <c r="H818" s="8" t="str">
        <f t="shared" si="12"/>
        <v>Nov</v>
      </c>
      <c r="I818" s="5">
        <v>1800</v>
      </c>
      <c r="J818" s="5">
        <v>1200</v>
      </c>
      <c r="K818" s="5">
        <f>student_data[[#This Row],[Total Fee]]-student_data[[#This Row],[Deposit Fee]]</f>
        <v>600</v>
      </c>
      <c r="L818" s="5" t="str">
        <f>IF(student_data[[#This Row],[Outstanding Fee]]=0,"Paid",IF(student_data[[#This Row],[Deposit Fee]]=0,"Unpaid","Partially Paid"))</f>
        <v>Partially Paid</v>
      </c>
      <c r="M818" s="5" t="s">
        <v>32</v>
      </c>
      <c r="N818"/>
      <c r="O818"/>
      <c r="P818"/>
      <c r="Q818"/>
      <c r="R818"/>
      <c r="S818"/>
      <c r="T818"/>
      <c r="U818"/>
      <c r="V818"/>
      <c r="W818"/>
    </row>
    <row r="819" spans="1:23" ht="15.4">
      <c r="A819" s="5">
        <v>525</v>
      </c>
      <c r="B819" s="5">
        <v>18525</v>
      </c>
      <c r="C819" s="5" t="s">
        <v>877</v>
      </c>
      <c r="D819" s="5" t="s">
        <v>878</v>
      </c>
      <c r="E819" s="5" t="s">
        <v>9</v>
      </c>
      <c r="F819" s="6" t="s">
        <v>1360</v>
      </c>
      <c r="G819" s="8">
        <v>45618</v>
      </c>
      <c r="H819" s="8" t="str">
        <f t="shared" si="12"/>
        <v>Nov</v>
      </c>
      <c r="I819" s="5">
        <v>4400</v>
      </c>
      <c r="J819" s="5">
        <v>3800</v>
      </c>
      <c r="K819" s="5">
        <f>student_data[[#This Row],[Total Fee]]-student_data[[#This Row],[Deposit Fee]]</f>
        <v>600</v>
      </c>
      <c r="L819" s="5" t="str">
        <f>IF(student_data[[#This Row],[Outstanding Fee]]=0,"Paid",IF(student_data[[#This Row],[Deposit Fee]]=0,"Unpaid","Partially Paid"))</f>
        <v>Partially Paid</v>
      </c>
      <c r="M819" s="5" t="s">
        <v>13</v>
      </c>
      <c r="N819"/>
      <c r="O819"/>
      <c r="P819"/>
      <c r="Q819"/>
      <c r="R819"/>
      <c r="S819"/>
      <c r="T819"/>
      <c r="U819"/>
      <c r="V819"/>
      <c r="W819"/>
    </row>
    <row r="820" spans="1:23" ht="15.4">
      <c r="A820" s="5">
        <v>727</v>
      </c>
      <c r="B820" s="5">
        <v>18727</v>
      </c>
      <c r="C820" s="5" t="s">
        <v>1135</v>
      </c>
      <c r="D820" s="5" t="s">
        <v>1136</v>
      </c>
      <c r="E820" s="5" t="s">
        <v>9</v>
      </c>
      <c r="F820" s="6" t="s">
        <v>1361</v>
      </c>
      <c r="G820" s="8">
        <v>45618</v>
      </c>
      <c r="H820" s="8" t="str">
        <f t="shared" si="12"/>
        <v>Nov</v>
      </c>
      <c r="I820" s="5">
        <v>5500</v>
      </c>
      <c r="J820" s="5">
        <v>5100</v>
      </c>
      <c r="K820" s="5">
        <f>student_data[[#This Row],[Total Fee]]-student_data[[#This Row],[Deposit Fee]]</f>
        <v>400</v>
      </c>
      <c r="L820" s="5" t="str">
        <f>IF(student_data[[#This Row],[Outstanding Fee]]=0,"Paid",IF(student_data[[#This Row],[Deposit Fee]]=0,"Unpaid","Partially Paid"))</f>
        <v>Partially Paid</v>
      </c>
      <c r="M820" s="5" t="s">
        <v>89</v>
      </c>
      <c r="N820"/>
      <c r="O820"/>
      <c r="P820"/>
      <c r="Q820"/>
      <c r="R820"/>
      <c r="S820"/>
      <c r="T820"/>
      <c r="U820"/>
      <c r="V820"/>
      <c r="W820"/>
    </row>
    <row r="821" spans="1:23" ht="15.4">
      <c r="A821" s="5">
        <v>728</v>
      </c>
      <c r="B821" s="5">
        <v>18728</v>
      </c>
      <c r="C821" s="5" t="s">
        <v>1137</v>
      </c>
      <c r="D821" s="5" t="s">
        <v>1138</v>
      </c>
      <c r="E821" s="5" t="s">
        <v>9</v>
      </c>
      <c r="F821" s="6" t="s">
        <v>1361</v>
      </c>
      <c r="G821" s="8">
        <v>45618</v>
      </c>
      <c r="H821" s="8" t="str">
        <f t="shared" si="12"/>
        <v>Nov</v>
      </c>
      <c r="I821" s="5">
        <v>5500</v>
      </c>
      <c r="J821" s="5">
        <v>500</v>
      </c>
      <c r="K821" s="5">
        <f>student_data[[#This Row],[Total Fee]]-student_data[[#This Row],[Deposit Fee]]</f>
        <v>5000</v>
      </c>
      <c r="L821" s="5" t="str">
        <f>IF(student_data[[#This Row],[Outstanding Fee]]=0,"Paid",IF(student_data[[#This Row],[Deposit Fee]]=0,"Unpaid","Partially Paid"))</f>
        <v>Partially Paid</v>
      </c>
      <c r="M821" s="5" t="s">
        <v>10</v>
      </c>
      <c r="N821"/>
      <c r="O821"/>
      <c r="P821"/>
      <c r="Q821"/>
      <c r="R821"/>
      <c r="S821"/>
      <c r="T821"/>
      <c r="U821"/>
      <c r="V821"/>
      <c r="W821"/>
    </row>
    <row r="822" spans="1:23" ht="15.4">
      <c r="A822" s="5">
        <v>526</v>
      </c>
      <c r="B822" s="5">
        <v>18526</v>
      </c>
      <c r="C822" s="5" t="s">
        <v>802</v>
      </c>
      <c r="D822" s="5" t="s">
        <v>427</v>
      </c>
      <c r="E822" s="5" t="s">
        <v>9</v>
      </c>
      <c r="F822" s="6" t="s">
        <v>1360</v>
      </c>
      <c r="G822" s="8">
        <v>45619</v>
      </c>
      <c r="H822" s="8" t="str">
        <f t="shared" si="12"/>
        <v>Nov</v>
      </c>
      <c r="I822" s="5">
        <v>4400</v>
      </c>
      <c r="J822" s="5">
        <v>3800</v>
      </c>
      <c r="K822" s="5">
        <f>student_data[[#This Row],[Total Fee]]-student_data[[#This Row],[Deposit Fee]]</f>
        <v>600</v>
      </c>
      <c r="L822" s="5" t="str">
        <f>IF(student_data[[#This Row],[Outstanding Fee]]=0,"Paid",IF(student_data[[#This Row],[Deposit Fee]]=0,"Unpaid","Partially Paid"))</f>
        <v>Partially Paid</v>
      </c>
      <c r="M822" s="5" t="s">
        <v>38</v>
      </c>
      <c r="N822"/>
      <c r="O822"/>
      <c r="P822"/>
      <c r="Q822"/>
      <c r="R822"/>
      <c r="S822"/>
      <c r="T822"/>
      <c r="U822"/>
      <c r="V822"/>
      <c r="W822"/>
    </row>
    <row r="823" spans="1:23" ht="15.4">
      <c r="A823" s="5">
        <v>910</v>
      </c>
      <c r="B823" s="5">
        <v>18910</v>
      </c>
      <c r="C823" s="5" t="s">
        <v>942</v>
      </c>
      <c r="D823" s="5" t="s">
        <v>1350</v>
      </c>
      <c r="E823" s="5" t="s">
        <v>25</v>
      </c>
      <c r="F823" s="5" t="s">
        <v>1365</v>
      </c>
      <c r="G823" s="8">
        <v>45619</v>
      </c>
      <c r="H823" s="8" t="str">
        <f t="shared" si="12"/>
        <v>Nov</v>
      </c>
      <c r="I823" s="5">
        <v>2200</v>
      </c>
      <c r="J823" s="5">
        <v>900</v>
      </c>
      <c r="K823" s="5">
        <f>student_data[[#This Row],[Total Fee]]-student_data[[#This Row],[Deposit Fee]]</f>
        <v>1300</v>
      </c>
      <c r="L823" s="5" t="str">
        <f>IF(student_data[[#This Row],[Outstanding Fee]]=0,"Paid",IF(student_data[[#This Row],[Deposit Fee]]=0,"Unpaid","Partially Paid"))</f>
        <v>Partially Paid</v>
      </c>
      <c r="M823" s="5" t="s">
        <v>29</v>
      </c>
      <c r="N823"/>
      <c r="O823"/>
      <c r="P823"/>
      <c r="Q823"/>
      <c r="R823"/>
      <c r="S823"/>
      <c r="T823"/>
      <c r="U823"/>
      <c r="V823"/>
      <c r="W823"/>
    </row>
    <row r="824" spans="1:23" ht="15.4">
      <c r="A824" s="5">
        <v>911</v>
      </c>
      <c r="B824" s="5">
        <v>18911</v>
      </c>
      <c r="C824" s="5" t="s">
        <v>937</v>
      </c>
      <c r="D824" s="5" t="s">
        <v>268</v>
      </c>
      <c r="E824" s="5" t="s">
        <v>25</v>
      </c>
      <c r="F824" s="5" t="s">
        <v>1365</v>
      </c>
      <c r="G824" s="8">
        <v>45619</v>
      </c>
      <c r="H824" s="8" t="str">
        <f t="shared" si="12"/>
        <v>Nov</v>
      </c>
      <c r="I824" s="5">
        <v>2200</v>
      </c>
      <c r="J824" s="5">
        <v>1600</v>
      </c>
      <c r="K824" s="5">
        <f>student_data[[#This Row],[Total Fee]]-student_data[[#This Row],[Deposit Fee]]</f>
        <v>600</v>
      </c>
      <c r="L824" s="5" t="str">
        <f>IF(student_data[[#This Row],[Outstanding Fee]]=0,"Paid",IF(student_data[[#This Row],[Deposit Fee]]=0,"Unpaid","Partially Paid"))</f>
        <v>Partially Paid</v>
      </c>
      <c r="M824" s="5" t="s">
        <v>32</v>
      </c>
      <c r="N824"/>
      <c r="O824"/>
      <c r="P824"/>
      <c r="Q824"/>
      <c r="R824"/>
      <c r="S824"/>
      <c r="T824"/>
      <c r="U824"/>
      <c r="V824"/>
      <c r="W824"/>
    </row>
    <row r="825" spans="1:23" ht="15.4">
      <c r="A825" s="5">
        <v>729</v>
      </c>
      <c r="B825" s="5">
        <v>18729</v>
      </c>
      <c r="C825" s="5" t="s">
        <v>1139</v>
      </c>
      <c r="D825" s="5" t="s">
        <v>117</v>
      </c>
      <c r="E825" s="5" t="s">
        <v>9</v>
      </c>
      <c r="F825" s="6" t="s">
        <v>1361</v>
      </c>
      <c r="G825" s="8">
        <v>45621</v>
      </c>
      <c r="H825" s="8" t="str">
        <f t="shared" si="12"/>
        <v>Nov</v>
      </c>
      <c r="I825" s="5">
        <v>5500</v>
      </c>
      <c r="J825" s="5">
        <v>4900</v>
      </c>
      <c r="K825" s="5">
        <f>student_data[[#This Row],[Total Fee]]-student_data[[#This Row],[Deposit Fee]]</f>
        <v>600</v>
      </c>
      <c r="L825" s="5" t="str">
        <f>IF(student_data[[#This Row],[Outstanding Fee]]=0,"Paid",IF(student_data[[#This Row],[Deposit Fee]]=0,"Unpaid","Partially Paid"))</f>
        <v>Partially Paid</v>
      </c>
      <c r="M825" s="5" t="s">
        <v>13</v>
      </c>
      <c r="N825"/>
      <c r="O825"/>
      <c r="P825"/>
      <c r="Q825"/>
      <c r="R825"/>
      <c r="S825"/>
      <c r="T825"/>
      <c r="U825"/>
      <c r="V825"/>
      <c r="W825"/>
    </row>
    <row r="826" spans="1:23" ht="15.4">
      <c r="A826" s="5">
        <v>912</v>
      </c>
      <c r="B826" s="5">
        <v>18912</v>
      </c>
      <c r="C826" s="5" t="s">
        <v>940</v>
      </c>
      <c r="D826" s="5" t="s">
        <v>451</v>
      </c>
      <c r="E826" s="5" t="s">
        <v>25</v>
      </c>
      <c r="F826" s="5" t="s">
        <v>1365</v>
      </c>
      <c r="G826" s="8">
        <v>45621</v>
      </c>
      <c r="H826" s="8" t="str">
        <f t="shared" si="12"/>
        <v>Nov</v>
      </c>
      <c r="I826" s="5">
        <v>2200</v>
      </c>
      <c r="J826" s="5">
        <v>2200</v>
      </c>
      <c r="K826" s="5">
        <f>student_data[[#This Row],[Total Fee]]-student_data[[#This Row],[Deposit Fee]]</f>
        <v>0</v>
      </c>
      <c r="L826" s="5" t="str">
        <f>IF(student_data[[#This Row],[Outstanding Fee]]=0,"Paid",IF(student_data[[#This Row],[Deposit Fee]]=0,"Unpaid","Partially Paid"))</f>
        <v>Paid</v>
      </c>
      <c r="M826" s="5" t="s">
        <v>35</v>
      </c>
      <c r="N826"/>
      <c r="O826"/>
      <c r="P826"/>
      <c r="Q826"/>
      <c r="R826"/>
      <c r="S826"/>
      <c r="T826"/>
      <c r="U826"/>
      <c r="V826"/>
      <c r="W826"/>
    </row>
    <row r="827" spans="1:23" ht="15.4">
      <c r="A827" s="5">
        <v>913</v>
      </c>
      <c r="B827" s="5">
        <v>18913</v>
      </c>
      <c r="C827" s="5" t="s">
        <v>620</v>
      </c>
      <c r="D827" s="5" t="s">
        <v>1351</v>
      </c>
      <c r="E827" s="5" t="s">
        <v>9</v>
      </c>
      <c r="F827" s="5" t="s">
        <v>1365</v>
      </c>
      <c r="G827" s="8">
        <v>45621</v>
      </c>
      <c r="H827" s="8" t="str">
        <f t="shared" si="12"/>
        <v>Nov</v>
      </c>
      <c r="I827" s="5">
        <v>2200</v>
      </c>
      <c r="J827" s="5">
        <v>2200</v>
      </c>
      <c r="K827" s="5">
        <f>student_data[[#This Row],[Total Fee]]-student_data[[#This Row],[Deposit Fee]]</f>
        <v>0</v>
      </c>
      <c r="L827" s="5" t="str">
        <f>IF(student_data[[#This Row],[Outstanding Fee]]=0,"Paid",IF(student_data[[#This Row],[Deposit Fee]]=0,"Unpaid","Partially Paid"))</f>
        <v>Paid</v>
      </c>
      <c r="M827" s="5" t="s">
        <v>38</v>
      </c>
      <c r="N827"/>
      <c r="O827"/>
      <c r="P827"/>
      <c r="Q827"/>
      <c r="R827"/>
      <c r="S827"/>
      <c r="T827"/>
      <c r="U827"/>
      <c r="V827"/>
      <c r="W827"/>
    </row>
    <row r="828" spans="1:23" ht="15.4">
      <c r="A828" s="5">
        <v>527</v>
      </c>
      <c r="B828" s="5">
        <v>18527</v>
      </c>
      <c r="C828" s="5" t="s">
        <v>879</v>
      </c>
      <c r="D828" s="5" t="s">
        <v>118</v>
      </c>
      <c r="E828" s="5" t="s">
        <v>9</v>
      </c>
      <c r="F828" s="6" t="s">
        <v>1360</v>
      </c>
      <c r="G828" s="8">
        <v>45622</v>
      </c>
      <c r="H828" s="8" t="str">
        <f t="shared" si="12"/>
        <v>Nov</v>
      </c>
      <c r="I828" s="5">
        <v>4400</v>
      </c>
      <c r="J828" s="5">
        <v>4400</v>
      </c>
      <c r="K828" s="5">
        <f>student_data[[#This Row],[Total Fee]]-student_data[[#This Row],[Deposit Fee]]</f>
        <v>0</v>
      </c>
      <c r="L828" s="5" t="str">
        <f>IF(student_data[[#This Row],[Outstanding Fee]]=0,"Paid",IF(student_data[[#This Row],[Deposit Fee]]=0,"Unpaid","Partially Paid"))</f>
        <v>Paid</v>
      </c>
      <c r="M828" s="5" t="s">
        <v>78</v>
      </c>
      <c r="N828"/>
      <c r="O828"/>
      <c r="P828"/>
      <c r="Q828"/>
      <c r="R828"/>
      <c r="S828"/>
      <c r="T828"/>
      <c r="U828"/>
      <c r="V828"/>
      <c r="W828"/>
    </row>
    <row r="829" spans="1:23" ht="15.4">
      <c r="A829" s="5">
        <v>528</v>
      </c>
      <c r="B829" s="5">
        <v>18528</v>
      </c>
      <c r="C829" s="5" t="s">
        <v>880</v>
      </c>
      <c r="D829" s="5" t="s">
        <v>881</v>
      </c>
      <c r="E829" s="5" t="s">
        <v>9</v>
      </c>
      <c r="F829" s="6" t="s">
        <v>1360</v>
      </c>
      <c r="G829" s="8">
        <v>45622</v>
      </c>
      <c r="H829" s="8" t="str">
        <f t="shared" si="12"/>
        <v>Nov</v>
      </c>
      <c r="I829" s="5">
        <v>4400</v>
      </c>
      <c r="J829" s="5">
        <v>4400</v>
      </c>
      <c r="K829" s="5">
        <f>student_data[[#This Row],[Total Fee]]-student_data[[#This Row],[Deposit Fee]]</f>
        <v>0</v>
      </c>
      <c r="L829" s="5" t="str">
        <f>IF(student_data[[#This Row],[Outstanding Fee]]=0,"Paid",IF(student_data[[#This Row],[Deposit Fee]]=0,"Unpaid","Partially Paid"))</f>
        <v>Paid</v>
      </c>
      <c r="M829" s="5" t="s">
        <v>16</v>
      </c>
      <c r="N829"/>
      <c r="O829"/>
      <c r="P829"/>
      <c r="Q829"/>
      <c r="R829"/>
      <c r="S829"/>
      <c r="T829"/>
      <c r="U829"/>
      <c r="V829"/>
      <c r="W829"/>
    </row>
    <row r="830" spans="1:23" ht="15.4">
      <c r="A830" s="5">
        <v>730</v>
      </c>
      <c r="B830" s="5">
        <v>18730</v>
      </c>
      <c r="C830" s="5" t="s">
        <v>1140</v>
      </c>
      <c r="D830" s="5" t="s">
        <v>1141</v>
      </c>
      <c r="E830" s="5" t="s">
        <v>9</v>
      </c>
      <c r="F830" s="6" t="s">
        <v>1361</v>
      </c>
      <c r="G830" s="8">
        <v>45622</v>
      </c>
      <c r="H830" s="8" t="str">
        <f t="shared" si="12"/>
        <v>Nov</v>
      </c>
      <c r="I830" s="5">
        <v>5500</v>
      </c>
      <c r="J830" s="5">
        <v>5500</v>
      </c>
      <c r="K830" s="5">
        <f>student_data[[#This Row],[Total Fee]]-student_data[[#This Row],[Deposit Fee]]</f>
        <v>0</v>
      </c>
      <c r="L830" s="5" t="str">
        <f>IF(student_data[[#This Row],[Outstanding Fee]]=0,"Paid",IF(student_data[[#This Row],[Deposit Fee]]=0,"Unpaid","Partially Paid"))</f>
        <v>Paid</v>
      </c>
      <c r="M830" s="5" t="s">
        <v>16</v>
      </c>
      <c r="N830"/>
      <c r="O830"/>
      <c r="P830"/>
      <c r="Q830"/>
      <c r="R830"/>
      <c r="S830"/>
      <c r="T830"/>
      <c r="U830"/>
      <c r="V830"/>
      <c r="W830"/>
    </row>
    <row r="831" spans="1:23" ht="15.4">
      <c r="A831" s="5">
        <v>529</v>
      </c>
      <c r="B831" s="5">
        <v>18529</v>
      </c>
      <c r="C831" s="5" t="s">
        <v>882</v>
      </c>
      <c r="D831" s="5" t="s">
        <v>70</v>
      </c>
      <c r="E831" s="5" t="s">
        <v>25</v>
      </c>
      <c r="F831" s="6" t="s">
        <v>1361</v>
      </c>
      <c r="G831" s="8">
        <v>45623</v>
      </c>
      <c r="H831" s="8" t="str">
        <f t="shared" si="12"/>
        <v>Nov</v>
      </c>
      <c r="I831" s="5">
        <v>5500</v>
      </c>
      <c r="J831" s="5">
        <v>5500</v>
      </c>
      <c r="K831" s="5">
        <f>student_data[[#This Row],[Total Fee]]-student_data[[#This Row],[Deposit Fee]]</f>
        <v>0</v>
      </c>
      <c r="L831" s="5" t="str">
        <f>IF(student_data[[#This Row],[Outstanding Fee]]=0,"Paid",IF(student_data[[#This Row],[Deposit Fee]]=0,"Unpaid","Partially Paid"))</f>
        <v>Paid</v>
      </c>
      <c r="M831" s="5" t="s">
        <v>19</v>
      </c>
      <c r="N831"/>
      <c r="O831"/>
      <c r="P831"/>
      <c r="Q831"/>
      <c r="R831"/>
      <c r="S831"/>
      <c r="T831"/>
      <c r="U831"/>
      <c r="V831"/>
      <c r="W831"/>
    </row>
    <row r="832" spans="1:23" ht="15.4">
      <c r="A832" s="5">
        <v>530</v>
      </c>
      <c r="B832" s="5">
        <v>18530</v>
      </c>
      <c r="C832" s="5" t="s">
        <v>883</v>
      </c>
      <c r="D832" s="5" t="s">
        <v>782</v>
      </c>
      <c r="E832" s="5" t="s">
        <v>25</v>
      </c>
      <c r="F832" s="6" t="s">
        <v>1361</v>
      </c>
      <c r="G832" s="8">
        <v>45623</v>
      </c>
      <c r="H832" s="8" t="str">
        <f t="shared" si="12"/>
        <v>Nov</v>
      </c>
      <c r="I832" s="5">
        <v>5500</v>
      </c>
      <c r="J832" s="5">
        <v>4900</v>
      </c>
      <c r="K832" s="5">
        <f>student_data[[#This Row],[Total Fee]]-student_data[[#This Row],[Deposit Fee]]</f>
        <v>600</v>
      </c>
      <c r="L832" s="5" t="str">
        <f>IF(student_data[[#This Row],[Outstanding Fee]]=0,"Paid",IF(student_data[[#This Row],[Deposit Fee]]=0,"Unpaid","Partially Paid"))</f>
        <v>Partially Paid</v>
      </c>
      <c r="M832" s="5" t="s">
        <v>47</v>
      </c>
      <c r="N832"/>
      <c r="O832"/>
      <c r="P832"/>
      <c r="Q832"/>
      <c r="R832"/>
      <c r="S832"/>
      <c r="T832"/>
      <c r="U832"/>
      <c r="V832"/>
      <c r="W832"/>
    </row>
    <row r="833" spans="1:23" ht="15.4">
      <c r="A833" s="5">
        <v>750</v>
      </c>
      <c r="B833" s="5">
        <v>18750</v>
      </c>
      <c r="C833" s="5" t="s">
        <v>1163</v>
      </c>
      <c r="D833" s="5" t="s">
        <v>118</v>
      </c>
      <c r="E833" s="5" t="s">
        <v>25</v>
      </c>
      <c r="F833" s="6" t="s">
        <v>1361</v>
      </c>
      <c r="G833" s="8">
        <v>45623</v>
      </c>
      <c r="H833" s="8" t="str">
        <f t="shared" si="12"/>
        <v>Nov</v>
      </c>
      <c r="I833" s="5">
        <v>5500</v>
      </c>
      <c r="J833" s="5">
        <v>5500</v>
      </c>
      <c r="K833" s="5">
        <f>student_data[[#This Row],[Total Fee]]-student_data[[#This Row],[Deposit Fee]]</f>
        <v>0</v>
      </c>
      <c r="L833" s="5" t="str">
        <f>IF(student_data[[#This Row],[Outstanding Fee]]=0,"Paid",IF(student_data[[#This Row],[Deposit Fee]]=0,"Unpaid","Partially Paid"))</f>
        <v>Paid</v>
      </c>
      <c r="M833" s="5" t="s">
        <v>22</v>
      </c>
      <c r="N833"/>
      <c r="O833"/>
      <c r="P833"/>
      <c r="Q833"/>
      <c r="R833"/>
      <c r="S833"/>
      <c r="T833"/>
      <c r="U833"/>
      <c r="V833"/>
      <c r="W833"/>
    </row>
    <row r="834" spans="1:23" ht="15.4">
      <c r="A834" s="5">
        <v>531</v>
      </c>
      <c r="B834" s="5">
        <v>18531</v>
      </c>
      <c r="C834" s="5" t="s">
        <v>884</v>
      </c>
      <c r="D834" s="5" t="s">
        <v>153</v>
      </c>
      <c r="E834" s="5" t="s">
        <v>9</v>
      </c>
      <c r="F834" s="6" t="s">
        <v>1360</v>
      </c>
      <c r="G834" s="8">
        <v>45624</v>
      </c>
      <c r="H834" s="8" t="str">
        <f t="shared" ref="H834:H897" si="13">TEXT(G834,"mmm")</f>
        <v>Nov</v>
      </c>
      <c r="I834" s="5">
        <v>4400</v>
      </c>
      <c r="J834" s="5">
        <v>4400</v>
      </c>
      <c r="K834" s="5">
        <f>student_data[[#This Row],[Total Fee]]-student_data[[#This Row],[Deposit Fee]]</f>
        <v>0</v>
      </c>
      <c r="L834" s="5" t="str">
        <f>IF(student_data[[#This Row],[Outstanding Fee]]=0,"Paid",IF(student_data[[#This Row],[Deposit Fee]]=0,"Unpaid","Partially Paid"))</f>
        <v>Paid</v>
      </c>
      <c r="M834" s="5" t="s">
        <v>75</v>
      </c>
      <c r="N834"/>
      <c r="O834"/>
      <c r="P834"/>
      <c r="Q834"/>
      <c r="R834"/>
      <c r="S834"/>
      <c r="T834"/>
      <c r="U834"/>
      <c r="V834"/>
      <c r="W834"/>
    </row>
    <row r="835" spans="1:23" ht="15.4">
      <c r="A835" s="5">
        <v>731</v>
      </c>
      <c r="B835" s="5">
        <v>18731</v>
      </c>
      <c r="C835" s="5" t="s">
        <v>539</v>
      </c>
      <c r="D835" s="5" t="s">
        <v>1142</v>
      </c>
      <c r="E835" s="5" t="s">
        <v>9</v>
      </c>
      <c r="F835" s="6" t="s">
        <v>1361</v>
      </c>
      <c r="G835" s="8">
        <v>45624</v>
      </c>
      <c r="H835" s="8" t="str">
        <f t="shared" si="13"/>
        <v>Nov</v>
      </c>
      <c r="I835" s="5">
        <v>5500</v>
      </c>
      <c r="J835" s="5">
        <v>5500</v>
      </c>
      <c r="K835" s="5">
        <f>student_data[[#This Row],[Total Fee]]-student_data[[#This Row],[Deposit Fee]]</f>
        <v>0</v>
      </c>
      <c r="L835" s="5" t="str">
        <f>IF(student_data[[#This Row],[Outstanding Fee]]=0,"Paid",IF(student_data[[#This Row],[Deposit Fee]]=0,"Unpaid","Partially Paid"))</f>
        <v>Paid</v>
      </c>
      <c r="M835" s="5" t="s">
        <v>19</v>
      </c>
      <c r="N835"/>
      <c r="O835"/>
      <c r="P835"/>
      <c r="Q835"/>
      <c r="R835"/>
      <c r="S835"/>
      <c r="T835"/>
      <c r="U835"/>
      <c r="V835"/>
      <c r="W835"/>
    </row>
    <row r="836" spans="1:23" ht="15.4">
      <c r="A836" s="5">
        <v>732</v>
      </c>
      <c r="B836" s="5">
        <v>18732</v>
      </c>
      <c r="C836" s="5" t="s">
        <v>1143</v>
      </c>
      <c r="D836" s="5" t="s">
        <v>858</v>
      </c>
      <c r="E836" s="5" t="s">
        <v>9</v>
      </c>
      <c r="F836" s="6" t="s">
        <v>1361</v>
      </c>
      <c r="G836" s="8">
        <v>45624</v>
      </c>
      <c r="H836" s="8" t="str">
        <f t="shared" si="13"/>
        <v>Nov</v>
      </c>
      <c r="I836" s="5">
        <v>5500</v>
      </c>
      <c r="J836" s="5">
        <v>4900</v>
      </c>
      <c r="K836" s="5">
        <f>student_data[[#This Row],[Total Fee]]-student_data[[#This Row],[Deposit Fee]]</f>
        <v>600</v>
      </c>
      <c r="L836" s="5" t="str">
        <f>IF(student_data[[#This Row],[Outstanding Fee]]=0,"Paid",IF(student_data[[#This Row],[Deposit Fee]]=0,"Unpaid","Partially Paid"))</f>
        <v>Partially Paid</v>
      </c>
      <c r="M836" s="5" t="s">
        <v>22</v>
      </c>
      <c r="N836"/>
      <c r="O836"/>
      <c r="P836"/>
      <c r="Q836"/>
      <c r="R836"/>
      <c r="S836"/>
      <c r="T836"/>
      <c r="U836"/>
      <c r="V836"/>
      <c r="W836"/>
    </row>
    <row r="837" spans="1:23" ht="15.4">
      <c r="A837" s="5">
        <v>733</v>
      </c>
      <c r="B837" s="5">
        <v>18733</v>
      </c>
      <c r="C837" s="5" t="s">
        <v>1144</v>
      </c>
      <c r="D837" s="5" t="s">
        <v>65</v>
      </c>
      <c r="E837" s="5" t="s">
        <v>9</v>
      </c>
      <c r="F837" s="6" t="s">
        <v>1361</v>
      </c>
      <c r="G837" s="8">
        <v>45625</v>
      </c>
      <c r="H837" s="8" t="str">
        <f t="shared" si="13"/>
        <v>Nov</v>
      </c>
      <c r="I837" s="5">
        <v>5500</v>
      </c>
      <c r="J837" s="5">
        <v>5500</v>
      </c>
      <c r="K837" s="5">
        <f>student_data[[#This Row],[Total Fee]]-student_data[[#This Row],[Deposit Fee]]</f>
        <v>0</v>
      </c>
      <c r="L837" s="5" t="str">
        <f>IF(student_data[[#This Row],[Outstanding Fee]]=0,"Paid",IF(student_data[[#This Row],[Deposit Fee]]=0,"Unpaid","Partially Paid"))</f>
        <v>Paid</v>
      </c>
      <c r="M837" s="5" t="s">
        <v>26</v>
      </c>
      <c r="N837"/>
      <c r="O837"/>
      <c r="P837"/>
      <c r="Q837"/>
      <c r="R837"/>
      <c r="S837"/>
      <c r="T837"/>
      <c r="U837"/>
      <c r="V837"/>
      <c r="W837"/>
    </row>
    <row r="838" spans="1:23" ht="15.4">
      <c r="A838" s="5">
        <v>734</v>
      </c>
      <c r="B838" s="5">
        <v>18734</v>
      </c>
      <c r="C838" s="5" t="s">
        <v>1145</v>
      </c>
      <c r="D838" s="5" t="s">
        <v>253</v>
      </c>
      <c r="E838" s="5" t="s">
        <v>9</v>
      </c>
      <c r="F838" s="6" t="s">
        <v>1361</v>
      </c>
      <c r="G838" s="8">
        <v>45625</v>
      </c>
      <c r="H838" s="8" t="str">
        <f t="shared" si="13"/>
        <v>Nov</v>
      </c>
      <c r="I838" s="5">
        <v>5500</v>
      </c>
      <c r="J838" s="5">
        <v>5500</v>
      </c>
      <c r="K838" s="5">
        <f>student_data[[#This Row],[Total Fee]]-student_data[[#This Row],[Deposit Fee]]</f>
        <v>0</v>
      </c>
      <c r="L838" s="5" t="str">
        <f>IF(student_data[[#This Row],[Outstanding Fee]]=0,"Paid",IF(student_data[[#This Row],[Deposit Fee]]=0,"Unpaid","Partially Paid"))</f>
        <v>Paid</v>
      </c>
      <c r="M838" s="5" t="s">
        <v>29</v>
      </c>
      <c r="N838"/>
      <c r="O838"/>
      <c r="P838"/>
      <c r="Q838"/>
      <c r="R838"/>
      <c r="S838"/>
      <c r="T838"/>
      <c r="U838"/>
      <c r="V838"/>
      <c r="W838"/>
    </row>
    <row r="839" spans="1:23" ht="15.4">
      <c r="A839" s="5">
        <v>751</v>
      </c>
      <c r="B839" s="5">
        <v>18751</v>
      </c>
      <c r="C839" s="5" t="s">
        <v>1164</v>
      </c>
      <c r="D839" s="5" t="s">
        <v>77</v>
      </c>
      <c r="E839" s="5" t="s">
        <v>25</v>
      </c>
      <c r="F839" s="5" t="s">
        <v>1364</v>
      </c>
      <c r="G839" s="8">
        <v>45625</v>
      </c>
      <c r="H839" s="8" t="str">
        <f t="shared" si="13"/>
        <v>Nov</v>
      </c>
      <c r="I839" s="5">
        <v>1800</v>
      </c>
      <c r="J839" s="5">
        <v>1800</v>
      </c>
      <c r="K839" s="5">
        <f>student_data[[#This Row],[Total Fee]]-student_data[[#This Row],[Deposit Fee]]</f>
        <v>0</v>
      </c>
      <c r="L839" s="5" t="str">
        <f>IF(student_data[[#This Row],[Outstanding Fee]]=0,"Paid",IF(student_data[[#This Row],[Deposit Fee]]=0,"Unpaid","Partially Paid"))</f>
        <v>Paid</v>
      </c>
      <c r="M839" s="5" t="s">
        <v>26</v>
      </c>
      <c r="N839"/>
      <c r="O839"/>
      <c r="P839"/>
      <c r="Q839"/>
      <c r="R839"/>
      <c r="S839"/>
      <c r="T839"/>
      <c r="U839"/>
      <c r="V839"/>
      <c r="W839"/>
    </row>
    <row r="840" spans="1:23" ht="15.4">
      <c r="A840" s="5">
        <v>735</v>
      </c>
      <c r="B840" s="5">
        <v>18735</v>
      </c>
      <c r="C840" s="5" t="s">
        <v>95</v>
      </c>
      <c r="D840" s="5" t="s">
        <v>1146</v>
      </c>
      <c r="E840" s="5" t="s">
        <v>9</v>
      </c>
      <c r="F840" s="6" t="s">
        <v>1361</v>
      </c>
      <c r="G840" s="8">
        <v>45626</v>
      </c>
      <c r="H840" s="8" t="str">
        <f t="shared" si="13"/>
        <v>Nov</v>
      </c>
      <c r="I840" s="5">
        <v>5500</v>
      </c>
      <c r="J840" s="5">
        <v>5100</v>
      </c>
      <c r="K840" s="5">
        <f>student_data[[#This Row],[Total Fee]]-student_data[[#This Row],[Deposit Fee]]</f>
        <v>400</v>
      </c>
      <c r="L840" s="5" t="str">
        <f>IF(student_data[[#This Row],[Outstanding Fee]]=0,"Paid",IF(student_data[[#This Row],[Deposit Fee]]=0,"Unpaid","Partially Paid"))</f>
        <v>Partially Paid</v>
      </c>
      <c r="M840" s="5" t="s">
        <v>32</v>
      </c>
      <c r="N840"/>
      <c r="O840"/>
      <c r="P840"/>
      <c r="Q840"/>
      <c r="R840"/>
      <c r="S840"/>
      <c r="T840"/>
      <c r="U840"/>
      <c r="V840"/>
      <c r="W840"/>
    </row>
    <row r="841" spans="1:23" ht="15.4">
      <c r="A841" s="5">
        <v>736</v>
      </c>
      <c r="B841" s="5">
        <v>18736</v>
      </c>
      <c r="C841" s="5" t="s">
        <v>224</v>
      </c>
      <c r="D841" s="5" t="s">
        <v>380</v>
      </c>
      <c r="E841" s="5" t="s">
        <v>25</v>
      </c>
      <c r="F841" s="6" t="s">
        <v>1361</v>
      </c>
      <c r="G841" s="8">
        <v>45626</v>
      </c>
      <c r="H841" s="8" t="str">
        <f t="shared" si="13"/>
        <v>Nov</v>
      </c>
      <c r="I841" s="5">
        <v>5500</v>
      </c>
      <c r="J841" s="5">
        <v>5100</v>
      </c>
      <c r="K841" s="5">
        <f>student_data[[#This Row],[Total Fee]]-student_data[[#This Row],[Deposit Fee]]</f>
        <v>400</v>
      </c>
      <c r="L841" s="5" t="str">
        <f>IF(student_data[[#This Row],[Outstanding Fee]]=0,"Paid",IF(student_data[[#This Row],[Deposit Fee]]=0,"Unpaid","Partially Paid"))</f>
        <v>Partially Paid</v>
      </c>
      <c r="M841" s="5" t="s">
        <v>35</v>
      </c>
      <c r="N841"/>
      <c r="O841"/>
      <c r="P841"/>
      <c r="Q841"/>
      <c r="R841"/>
      <c r="S841"/>
      <c r="T841"/>
      <c r="U841"/>
      <c r="V841"/>
      <c r="W841"/>
    </row>
    <row r="842" spans="1:23" ht="15.4">
      <c r="A842" s="5">
        <v>752</v>
      </c>
      <c r="B842" s="5">
        <v>18752</v>
      </c>
      <c r="C842" s="5" t="s">
        <v>1163</v>
      </c>
      <c r="D842" s="5" t="s">
        <v>1001</v>
      </c>
      <c r="E842" s="5" t="s">
        <v>25</v>
      </c>
      <c r="F842" s="5" t="s">
        <v>1363</v>
      </c>
      <c r="G842" s="8">
        <v>45626</v>
      </c>
      <c r="H842" s="8" t="str">
        <f t="shared" si="13"/>
        <v>Nov</v>
      </c>
      <c r="I842" s="5">
        <v>7500</v>
      </c>
      <c r="J842" s="5">
        <v>7500</v>
      </c>
      <c r="K842" s="5">
        <f>student_data[[#This Row],[Total Fee]]-student_data[[#This Row],[Deposit Fee]]</f>
        <v>0</v>
      </c>
      <c r="L842" s="5" t="str">
        <f>IF(student_data[[#This Row],[Outstanding Fee]]=0,"Paid",IF(student_data[[#This Row],[Deposit Fee]]=0,"Unpaid","Partially Paid"))</f>
        <v>Paid</v>
      </c>
      <c r="M842" s="5" t="s">
        <v>26</v>
      </c>
      <c r="N842"/>
      <c r="O842"/>
      <c r="P842"/>
      <c r="Q842"/>
      <c r="R842"/>
      <c r="S842"/>
      <c r="T842"/>
      <c r="U842"/>
      <c r="V842"/>
      <c r="W842"/>
    </row>
    <row r="843" spans="1:23" ht="15.4">
      <c r="A843" s="5">
        <v>655</v>
      </c>
      <c r="B843" s="5">
        <v>18655</v>
      </c>
      <c r="C843" s="5" t="s">
        <v>1027</v>
      </c>
      <c r="D843" s="5" t="s">
        <v>1028</v>
      </c>
      <c r="E843" s="5" t="s">
        <v>9</v>
      </c>
      <c r="F843" s="6" t="s">
        <v>1361</v>
      </c>
      <c r="G843" s="8">
        <v>45628</v>
      </c>
      <c r="H843" s="8" t="str">
        <f t="shared" si="13"/>
        <v>Dec</v>
      </c>
      <c r="I843" s="5">
        <v>5500</v>
      </c>
      <c r="J843" s="5">
        <v>4900</v>
      </c>
      <c r="K843" s="5">
        <f>student_data[[#This Row],[Total Fee]]-student_data[[#This Row],[Deposit Fee]]</f>
        <v>600</v>
      </c>
      <c r="L843" s="5" t="str">
        <f>IF(student_data[[#This Row],[Outstanding Fee]]=0,"Paid",IF(student_data[[#This Row],[Deposit Fee]]=0,"Unpaid","Partially Paid"))</f>
        <v>Partially Paid</v>
      </c>
      <c r="M843" s="5" t="s">
        <v>47</v>
      </c>
      <c r="N843"/>
      <c r="O843"/>
      <c r="P843"/>
      <c r="Q843"/>
      <c r="R843"/>
      <c r="S843"/>
      <c r="T843"/>
      <c r="U843"/>
      <c r="V843"/>
      <c r="W843"/>
    </row>
    <row r="844" spans="1:23" ht="15.4">
      <c r="A844" s="5">
        <v>656</v>
      </c>
      <c r="B844" s="5">
        <v>18656</v>
      </c>
      <c r="C844" s="5" t="s">
        <v>36</v>
      </c>
      <c r="D844" s="5" t="s">
        <v>139</v>
      </c>
      <c r="E844" s="5" t="s">
        <v>9</v>
      </c>
      <c r="F844" s="6" t="s">
        <v>1361</v>
      </c>
      <c r="G844" s="8">
        <v>45628</v>
      </c>
      <c r="H844" s="8" t="str">
        <f t="shared" si="13"/>
        <v>Dec</v>
      </c>
      <c r="I844" s="5">
        <v>5500</v>
      </c>
      <c r="J844" s="5">
        <v>4900</v>
      </c>
      <c r="K844" s="5">
        <f>student_data[[#This Row],[Total Fee]]-student_data[[#This Row],[Deposit Fee]]</f>
        <v>600</v>
      </c>
      <c r="L844" s="5" t="str">
        <f>IF(student_data[[#This Row],[Outstanding Fee]]=0,"Paid",IF(student_data[[#This Row],[Deposit Fee]]=0,"Unpaid","Partially Paid"))</f>
        <v>Partially Paid</v>
      </c>
      <c r="M844" s="5" t="s">
        <v>78</v>
      </c>
      <c r="N844"/>
      <c r="O844"/>
      <c r="P844"/>
      <c r="Q844"/>
      <c r="R844"/>
      <c r="S844"/>
      <c r="T844"/>
      <c r="U844"/>
      <c r="V844"/>
      <c r="W844"/>
    </row>
    <row r="845" spans="1:23" ht="15.4">
      <c r="A845" s="5">
        <v>737</v>
      </c>
      <c r="B845" s="5">
        <v>18737</v>
      </c>
      <c r="C845" s="5" t="s">
        <v>1147</v>
      </c>
      <c r="D845" s="5" t="s">
        <v>1148</v>
      </c>
      <c r="E845" s="5" t="s">
        <v>9</v>
      </c>
      <c r="F845" s="6" t="s">
        <v>1361</v>
      </c>
      <c r="G845" s="8">
        <v>45628</v>
      </c>
      <c r="H845" s="8" t="str">
        <f t="shared" si="13"/>
        <v>Dec</v>
      </c>
      <c r="I845" s="5">
        <v>5500</v>
      </c>
      <c r="J845" s="5">
        <v>5500</v>
      </c>
      <c r="K845" s="5">
        <f>student_data[[#This Row],[Total Fee]]-student_data[[#This Row],[Deposit Fee]]</f>
        <v>0</v>
      </c>
      <c r="L845" s="5" t="str">
        <f>IF(student_data[[#This Row],[Outstanding Fee]]=0,"Paid",IF(student_data[[#This Row],[Deposit Fee]]=0,"Unpaid","Partially Paid"))</f>
        <v>Paid</v>
      </c>
      <c r="M845" s="5" t="s">
        <v>38</v>
      </c>
      <c r="N845"/>
      <c r="O845"/>
      <c r="P845"/>
      <c r="Q845"/>
      <c r="R845"/>
      <c r="S845"/>
      <c r="T845"/>
      <c r="U845"/>
      <c r="V845"/>
      <c r="W845"/>
    </row>
    <row r="846" spans="1:23" ht="15.4">
      <c r="A846" s="5">
        <v>532</v>
      </c>
      <c r="B846" s="5">
        <v>18532</v>
      </c>
      <c r="C846" s="5" t="s">
        <v>67</v>
      </c>
      <c r="D846" s="5" t="s">
        <v>885</v>
      </c>
      <c r="E846" s="5" t="s">
        <v>25</v>
      </c>
      <c r="F846" s="5" t="s">
        <v>1365</v>
      </c>
      <c r="G846" s="8">
        <v>45629</v>
      </c>
      <c r="H846" s="8" t="str">
        <f t="shared" si="13"/>
        <v>Dec</v>
      </c>
      <c r="I846" s="5">
        <v>2200</v>
      </c>
      <c r="J846" s="5">
        <v>300</v>
      </c>
      <c r="K846" s="5">
        <f>student_data[[#This Row],[Total Fee]]-student_data[[#This Row],[Deposit Fee]]</f>
        <v>1900</v>
      </c>
      <c r="L846" s="5" t="str">
        <f>IF(student_data[[#This Row],[Outstanding Fee]]=0,"Paid",IF(student_data[[#This Row],[Deposit Fee]]=0,"Unpaid","Partially Paid"))</f>
        <v>Partially Paid</v>
      </c>
      <c r="M846" s="5" t="s">
        <v>89</v>
      </c>
      <c r="N846"/>
      <c r="O846"/>
      <c r="P846"/>
      <c r="Q846"/>
      <c r="R846"/>
      <c r="S846"/>
      <c r="T846"/>
      <c r="U846"/>
      <c r="V846"/>
      <c r="W846"/>
    </row>
    <row r="847" spans="1:23" ht="15.4">
      <c r="A847" s="5">
        <v>738</v>
      </c>
      <c r="B847" s="5">
        <v>18738</v>
      </c>
      <c r="C847" s="5" t="s">
        <v>396</v>
      </c>
      <c r="D847" s="5" t="s">
        <v>1149</v>
      </c>
      <c r="E847" s="5" t="s">
        <v>9</v>
      </c>
      <c r="F847" s="6" t="s">
        <v>1361</v>
      </c>
      <c r="G847" s="8">
        <v>45629</v>
      </c>
      <c r="H847" s="8" t="str">
        <f t="shared" si="13"/>
        <v>Dec</v>
      </c>
      <c r="I847" s="5">
        <v>5500</v>
      </c>
      <c r="J847" s="5">
        <v>5500</v>
      </c>
      <c r="K847" s="5">
        <f>student_data[[#This Row],[Total Fee]]-student_data[[#This Row],[Deposit Fee]]</f>
        <v>0</v>
      </c>
      <c r="L847" s="5" t="str">
        <f>IF(student_data[[#This Row],[Outstanding Fee]]=0,"Paid",IF(student_data[[#This Row],[Deposit Fee]]=0,"Unpaid","Partially Paid"))</f>
        <v>Paid</v>
      </c>
      <c r="M847" s="5" t="s">
        <v>22</v>
      </c>
      <c r="N847"/>
      <c r="O847"/>
      <c r="P847"/>
      <c r="Q847"/>
      <c r="R847"/>
      <c r="S847"/>
      <c r="T847"/>
      <c r="U847"/>
      <c r="V847"/>
      <c r="W847"/>
    </row>
    <row r="848" spans="1:23" ht="15.4">
      <c r="A848" s="5">
        <v>739</v>
      </c>
      <c r="B848" s="5">
        <v>18739</v>
      </c>
      <c r="C848" s="5" t="s">
        <v>1150</v>
      </c>
      <c r="D848" s="5" t="s">
        <v>425</v>
      </c>
      <c r="E848" s="5" t="s">
        <v>25</v>
      </c>
      <c r="F848" s="6" t="s">
        <v>1361</v>
      </c>
      <c r="G848" s="8">
        <v>45629</v>
      </c>
      <c r="H848" s="8" t="str">
        <f t="shared" si="13"/>
        <v>Dec</v>
      </c>
      <c r="I848" s="5">
        <v>5500</v>
      </c>
      <c r="J848" s="5">
        <v>5500</v>
      </c>
      <c r="K848" s="5">
        <f>student_data[[#This Row],[Total Fee]]-student_data[[#This Row],[Deposit Fee]]</f>
        <v>0</v>
      </c>
      <c r="L848" s="5" t="str">
        <f>IF(student_data[[#This Row],[Outstanding Fee]]=0,"Paid",IF(student_data[[#This Row],[Deposit Fee]]=0,"Unpaid","Partially Paid"))</f>
        <v>Paid</v>
      </c>
      <c r="M848" s="5" t="s">
        <v>26</v>
      </c>
      <c r="N848"/>
      <c r="O848"/>
      <c r="P848"/>
      <c r="Q848"/>
      <c r="R848"/>
      <c r="S848"/>
      <c r="T848"/>
      <c r="U848"/>
      <c r="V848"/>
      <c r="W848"/>
    </row>
    <row r="849" spans="1:23" ht="15.4">
      <c r="A849" s="5">
        <v>533</v>
      </c>
      <c r="B849" s="5">
        <v>18533</v>
      </c>
      <c r="C849" s="5" t="s">
        <v>56</v>
      </c>
      <c r="D849" s="5" t="s">
        <v>886</v>
      </c>
      <c r="E849" s="5" t="s">
        <v>25</v>
      </c>
      <c r="F849" s="5" t="s">
        <v>1365</v>
      </c>
      <c r="G849" s="8">
        <v>45630</v>
      </c>
      <c r="H849" s="8" t="str">
        <f t="shared" si="13"/>
        <v>Dec</v>
      </c>
      <c r="I849" s="5">
        <v>2200</v>
      </c>
      <c r="J849" s="5">
        <v>1600</v>
      </c>
      <c r="K849" s="5">
        <f>student_data[[#This Row],[Total Fee]]-student_data[[#This Row],[Deposit Fee]]</f>
        <v>600</v>
      </c>
      <c r="L849" s="5" t="str">
        <f>IF(student_data[[#This Row],[Outstanding Fee]]=0,"Paid",IF(student_data[[#This Row],[Deposit Fee]]=0,"Unpaid","Partially Paid"))</f>
        <v>Partially Paid</v>
      </c>
      <c r="M849" s="5" t="s">
        <v>29</v>
      </c>
      <c r="N849"/>
      <c r="O849"/>
      <c r="P849"/>
      <c r="Q849"/>
      <c r="R849"/>
      <c r="S849"/>
      <c r="T849"/>
      <c r="U849"/>
      <c r="V849"/>
      <c r="W849"/>
    </row>
    <row r="850" spans="1:23" ht="15.4">
      <c r="A850" s="5">
        <v>534</v>
      </c>
      <c r="B850" s="5">
        <v>18534</v>
      </c>
      <c r="C850" s="5" t="s">
        <v>71</v>
      </c>
      <c r="D850" s="5" t="s">
        <v>887</v>
      </c>
      <c r="E850" s="5" t="s">
        <v>9</v>
      </c>
      <c r="F850" s="5" t="s">
        <v>1365</v>
      </c>
      <c r="G850" s="8">
        <v>45630</v>
      </c>
      <c r="H850" s="8" t="str">
        <f t="shared" si="13"/>
        <v>Dec</v>
      </c>
      <c r="I850" s="5">
        <v>2200</v>
      </c>
      <c r="J850" s="5">
        <v>2200</v>
      </c>
      <c r="K850" s="5">
        <f>student_data[[#This Row],[Total Fee]]-student_data[[#This Row],[Deposit Fee]]</f>
        <v>0</v>
      </c>
      <c r="L850" s="5" t="str">
        <f>IF(student_data[[#This Row],[Outstanding Fee]]=0,"Paid",IF(student_data[[#This Row],[Deposit Fee]]=0,"Unpaid","Partially Paid"))</f>
        <v>Paid</v>
      </c>
      <c r="M850" s="5" t="s">
        <v>10</v>
      </c>
      <c r="N850"/>
      <c r="O850"/>
      <c r="P850"/>
      <c r="Q850"/>
      <c r="R850"/>
      <c r="S850"/>
      <c r="T850"/>
      <c r="U850"/>
      <c r="V850"/>
      <c r="W850"/>
    </row>
    <row r="851" spans="1:23" ht="15.4">
      <c r="A851" s="5">
        <v>535</v>
      </c>
      <c r="B851" s="5">
        <v>18535</v>
      </c>
      <c r="C851" s="5" t="s">
        <v>73</v>
      </c>
      <c r="D851" s="5" t="s">
        <v>888</v>
      </c>
      <c r="E851" s="5" t="s">
        <v>9</v>
      </c>
      <c r="F851" s="5" t="s">
        <v>1365</v>
      </c>
      <c r="G851" s="8">
        <v>45630</v>
      </c>
      <c r="H851" s="8" t="str">
        <f t="shared" si="13"/>
        <v>Dec</v>
      </c>
      <c r="I851" s="5">
        <v>2200</v>
      </c>
      <c r="J851" s="5">
        <v>2200</v>
      </c>
      <c r="K851" s="5">
        <f>student_data[[#This Row],[Total Fee]]-student_data[[#This Row],[Deposit Fee]]</f>
        <v>0</v>
      </c>
      <c r="L851" s="5" t="str">
        <f>IF(student_data[[#This Row],[Outstanding Fee]]=0,"Paid",IF(student_data[[#This Row],[Deposit Fee]]=0,"Unpaid","Partially Paid"))</f>
        <v>Paid</v>
      </c>
      <c r="M851" s="5" t="s">
        <v>13</v>
      </c>
      <c r="N851"/>
      <c r="O851"/>
      <c r="P851"/>
      <c r="Q851"/>
      <c r="R851"/>
      <c r="S851"/>
      <c r="T851"/>
      <c r="U851"/>
      <c r="V851"/>
      <c r="W851"/>
    </row>
    <row r="852" spans="1:23" ht="15.4">
      <c r="A852" s="5">
        <v>536</v>
      </c>
      <c r="B852" s="5">
        <v>18536</v>
      </c>
      <c r="C852" s="5" t="s">
        <v>64</v>
      </c>
      <c r="D852" s="5" t="s">
        <v>759</v>
      </c>
      <c r="E852" s="5" t="s">
        <v>9</v>
      </c>
      <c r="F852" s="5" t="s">
        <v>1365</v>
      </c>
      <c r="G852" s="8">
        <v>45631</v>
      </c>
      <c r="H852" s="8" t="str">
        <f t="shared" si="13"/>
        <v>Dec</v>
      </c>
      <c r="I852" s="5">
        <v>2200</v>
      </c>
      <c r="J852" s="5">
        <v>2200</v>
      </c>
      <c r="K852" s="5">
        <f>student_data[[#This Row],[Total Fee]]-student_data[[#This Row],[Deposit Fee]]</f>
        <v>0</v>
      </c>
      <c r="L852" s="5" t="str">
        <f>IF(student_data[[#This Row],[Outstanding Fee]]=0,"Paid",IF(student_data[[#This Row],[Deposit Fee]]=0,"Unpaid","Partially Paid"))</f>
        <v>Paid</v>
      </c>
      <c r="M852" s="5" t="s">
        <v>38</v>
      </c>
      <c r="N852"/>
      <c r="O852"/>
      <c r="P852"/>
      <c r="Q852"/>
      <c r="R852"/>
      <c r="S852"/>
      <c r="T852"/>
      <c r="U852"/>
      <c r="V852"/>
      <c r="W852"/>
    </row>
    <row r="853" spans="1:23" ht="15.4">
      <c r="A853" s="5">
        <v>537</v>
      </c>
      <c r="B853" s="5">
        <v>18537</v>
      </c>
      <c r="C853" s="5" t="s">
        <v>79</v>
      </c>
      <c r="D853" s="5" t="s">
        <v>889</v>
      </c>
      <c r="E853" s="5" t="s">
        <v>9</v>
      </c>
      <c r="F853" s="5" t="s">
        <v>1365</v>
      </c>
      <c r="G853" s="8">
        <v>45631</v>
      </c>
      <c r="H853" s="8" t="str">
        <f t="shared" si="13"/>
        <v>Dec</v>
      </c>
      <c r="I853" s="5">
        <v>2200</v>
      </c>
      <c r="J853" s="5">
        <v>1800</v>
      </c>
      <c r="K853" s="5">
        <f>student_data[[#This Row],[Total Fee]]-student_data[[#This Row],[Deposit Fee]]</f>
        <v>400</v>
      </c>
      <c r="L853" s="5" t="str">
        <f>IF(student_data[[#This Row],[Outstanding Fee]]=0,"Paid",IF(student_data[[#This Row],[Deposit Fee]]=0,"Unpaid","Partially Paid"))</f>
        <v>Partially Paid</v>
      </c>
      <c r="M853" s="5" t="s">
        <v>78</v>
      </c>
      <c r="N853"/>
      <c r="O853"/>
      <c r="P853"/>
      <c r="Q853"/>
      <c r="R853"/>
      <c r="S853"/>
      <c r="T853"/>
      <c r="U853"/>
      <c r="V853"/>
      <c r="W853"/>
    </row>
    <row r="854" spans="1:23" ht="15.4">
      <c r="A854" s="5">
        <v>538</v>
      </c>
      <c r="B854" s="5">
        <v>18538</v>
      </c>
      <c r="C854" s="5" t="s">
        <v>76</v>
      </c>
      <c r="D854" s="5" t="s">
        <v>574</v>
      </c>
      <c r="E854" s="5" t="s">
        <v>9</v>
      </c>
      <c r="F854" s="5" t="s">
        <v>1365</v>
      </c>
      <c r="G854" s="8">
        <v>45631</v>
      </c>
      <c r="H854" s="8" t="str">
        <f t="shared" si="13"/>
        <v>Dec</v>
      </c>
      <c r="I854" s="5">
        <v>2200</v>
      </c>
      <c r="J854" s="5">
        <v>1800</v>
      </c>
      <c r="K854" s="5">
        <f>student_data[[#This Row],[Total Fee]]-student_data[[#This Row],[Deposit Fee]]</f>
        <v>400</v>
      </c>
      <c r="L854" s="5" t="str">
        <f>IF(student_data[[#This Row],[Outstanding Fee]]=0,"Paid",IF(student_data[[#This Row],[Deposit Fee]]=0,"Unpaid","Partially Paid"))</f>
        <v>Partially Paid</v>
      </c>
      <c r="M854" s="5" t="s">
        <v>16</v>
      </c>
      <c r="N854"/>
      <c r="O854"/>
      <c r="P854"/>
      <c r="Q854"/>
      <c r="R854"/>
      <c r="S854"/>
      <c r="T854"/>
      <c r="U854"/>
      <c r="V854"/>
      <c r="W854"/>
    </row>
    <row r="855" spans="1:23" ht="15.4">
      <c r="A855" s="5">
        <v>539</v>
      </c>
      <c r="B855" s="5">
        <v>18539</v>
      </c>
      <c r="C855" s="5" t="s">
        <v>110</v>
      </c>
      <c r="D855" s="5" t="s">
        <v>890</v>
      </c>
      <c r="E855" s="5" t="s">
        <v>25</v>
      </c>
      <c r="F855" s="5" t="s">
        <v>1365</v>
      </c>
      <c r="G855" s="8">
        <v>45632</v>
      </c>
      <c r="H855" s="8" t="str">
        <f t="shared" si="13"/>
        <v>Dec</v>
      </c>
      <c r="I855" s="5">
        <v>2200</v>
      </c>
      <c r="J855" s="5">
        <v>1600</v>
      </c>
      <c r="K855" s="5">
        <f>student_data[[#This Row],[Total Fee]]-student_data[[#This Row],[Deposit Fee]]</f>
        <v>600</v>
      </c>
      <c r="L855" s="5" t="str">
        <f>IF(student_data[[#This Row],[Outstanding Fee]]=0,"Paid",IF(student_data[[#This Row],[Deposit Fee]]=0,"Unpaid","Partially Paid"))</f>
        <v>Partially Paid</v>
      </c>
      <c r="M855" s="5" t="s">
        <v>19</v>
      </c>
      <c r="N855"/>
      <c r="O855"/>
      <c r="P855"/>
      <c r="Q855"/>
      <c r="R855"/>
      <c r="S855"/>
      <c r="T855"/>
      <c r="U855"/>
      <c r="V855"/>
      <c r="W855"/>
    </row>
    <row r="856" spans="1:23" ht="15.4">
      <c r="A856" s="5">
        <v>540</v>
      </c>
      <c r="B856" s="5">
        <v>18540</v>
      </c>
      <c r="C856" s="5" t="s">
        <v>54</v>
      </c>
      <c r="D856" s="5" t="s">
        <v>891</v>
      </c>
      <c r="E856" s="5" t="s">
        <v>25</v>
      </c>
      <c r="F856" s="5" t="s">
        <v>1365</v>
      </c>
      <c r="G856" s="8">
        <v>45632</v>
      </c>
      <c r="H856" s="8" t="str">
        <f t="shared" si="13"/>
        <v>Dec</v>
      </c>
      <c r="I856" s="5">
        <v>2200</v>
      </c>
      <c r="J856" s="5">
        <v>2200</v>
      </c>
      <c r="K856" s="5">
        <f>student_data[[#This Row],[Total Fee]]-student_data[[#This Row],[Deposit Fee]]</f>
        <v>0</v>
      </c>
      <c r="L856" s="5" t="str">
        <f>IF(student_data[[#This Row],[Outstanding Fee]]=0,"Paid",IF(student_data[[#This Row],[Deposit Fee]]=0,"Unpaid","Partially Paid"))</f>
        <v>Paid</v>
      </c>
      <c r="M856" s="5" t="s">
        <v>47</v>
      </c>
      <c r="N856"/>
      <c r="O856"/>
      <c r="P856"/>
      <c r="Q856"/>
      <c r="R856"/>
      <c r="S856"/>
      <c r="T856"/>
      <c r="U856"/>
      <c r="V856"/>
      <c r="W856"/>
    </row>
    <row r="857" spans="1:23" ht="15.4">
      <c r="A857" s="5">
        <v>541</v>
      </c>
      <c r="B857" s="5">
        <v>18541</v>
      </c>
      <c r="C857" s="5" t="s">
        <v>60</v>
      </c>
      <c r="D857" s="5" t="s">
        <v>892</v>
      </c>
      <c r="E857" s="5" t="s">
        <v>25</v>
      </c>
      <c r="F857" s="5" t="s">
        <v>1365</v>
      </c>
      <c r="G857" s="8">
        <v>45632</v>
      </c>
      <c r="H857" s="8" t="str">
        <f t="shared" si="13"/>
        <v>Dec</v>
      </c>
      <c r="I857" s="5">
        <v>2200</v>
      </c>
      <c r="J857" s="5">
        <v>1600</v>
      </c>
      <c r="K857" s="5">
        <f>student_data[[#This Row],[Total Fee]]-student_data[[#This Row],[Deposit Fee]]</f>
        <v>600</v>
      </c>
      <c r="L857" s="5" t="str">
        <f>IF(student_data[[#This Row],[Outstanding Fee]]=0,"Paid",IF(student_data[[#This Row],[Deposit Fee]]=0,"Unpaid","Partially Paid"))</f>
        <v>Partially Paid</v>
      </c>
      <c r="M857" s="5" t="s">
        <v>75</v>
      </c>
      <c r="N857"/>
      <c r="O857"/>
      <c r="P857"/>
      <c r="Q857"/>
      <c r="R857"/>
      <c r="S857"/>
      <c r="T857"/>
      <c r="U857"/>
      <c r="V857"/>
      <c r="W857"/>
    </row>
    <row r="858" spans="1:23" ht="15.4">
      <c r="A858" s="5">
        <v>542</v>
      </c>
      <c r="B858" s="5">
        <v>18542</v>
      </c>
      <c r="C858" s="5" t="s">
        <v>58</v>
      </c>
      <c r="D858" s="5" t="s">
        <v>80</v>
      </c>
      <c r="E858" s="5" t="s">
        <v>9</v>
      </c>
      <c r="F858" s="5" t="s">
        <v>1365</v>
      </c>
      <c r="G858" s="8">
        <v>45633</v>
      </c>
      <c r="H858" s="8" t="str">
        <f t="shared" si="13"/>
        <v>Dec</v>
      </c>
      <c r="I858" s="5">
        <v>2200</v>
      </c>
      <c r="J858" s="5">
        <v>1600</v>
      </c>
      <c r="K858" s="5">
        <f>student_data[[#This Row],[Total Fee]]-student_data[[#This Row],[Deposit Fee]]</f>
        <v>600</v>
      </c>
      <c r="L858" s="5" t="str">
        <f>IF(student_data[[#This Row],[Outstanding Fee]]=0,"Paid",IF(student_data[[#This Row],[Deposit Fee]]=0,"Unpaid","Partially Paid"))</f>
        <v>Partially Paid</v>
      </c>
      <c r="M858" s="5" t="s">
        <v>89</v>
      </c>
      <c r="N858"/>
      <c r="O858"/>
      <c r="P858"/>
      <c r="Q858"/>
      <c r="R858"/>
      <c r="S858"/>
      <c r="T858"/>
      <c r="U858"/>
      <c r="V858"/>
      <c r="W858"/>
    </row>
    <row r="859" spans="1:23" ht="15.4">
      <c r="A859" s="5">
        <v>543</v>
      </c>
      <c r="B859" s="5">
        <v>18543</v>
      </c>
      <c r="C859" s="5" t="s">
        <v>62</v>
      </c>
      <c r="D859" s="5" t="s">
        <v>99</v>
      </c>
      <c r="E859" s="5" t="s">
        <v>9</v>
      </c>
      <c r="F859" s="5" t="s">
        <v>1365</v>
      </c>
      <c r="G859" s="8">
        <v>45633</v>
      </c>
      <c r="H859" s="8" t="str">
        <f t="shared" si="13"/>
        <v>Dec</v>
      </c>
      <c r="I859" s="5">
        <v>2200</v>
      </c>
      <c r="J859" s="5">
        <v>2200</v>
      </c>
      <c r="K859" s="5">
        <f>student_data[[#This Row],[Total Fee]]-student_data[[#This Row],[Deposit Fee]]</f>
        <v>0</v>
      </c>
      <c r="L859" s="5" t="str">
        <f>IF(student_data[[#This Row],[Outstanding Fee]]=0,"Paid",IF(student_data[[#This Row],[Deposit Fee]]=0,"Unpaid","Partially Paid"))</f>
        <v>Paid</v>
      </c>
      <c r="M859" s="5" t="s">
        <v>29</v>
      </c>
      <c r="N859"/>
      <c r="O859"/>
      <c r="P859"/>
      <c r="Q859"/>
      <c r="R859"/>
      <c r="S859"/>
      <c r="T859"/>
      <c r="U859"/>
      <c r="V859"/>
      <c r="W859"/>
    </row>
    <row r="860" spans="1:23" ht="15.4">
      <c r="A860" s="5">
        <v>544</v>
      </c>
      <c r="B860" s="5">
        <v>18544</v>
      </c>
      <c r="C860" s="5" t="s">
        <v>69</v>
      </c>
      <c r="D860" s="5" t="s">
        <v>64</v>
      </c>
      <c r="E860" s="5" t="s">
        <v>9</v>
      </c>
      <c r="F860" s="5" t="s">
        <v>1365</v>
      </c>
      <c r="G860" s="8">
        <v>45633</v>
      </c>
      <c r="H860" s="8" t="str">
        <f t="shared" si="13"/>
        <v>Dec</v>
      </c>
      <c r="I860" s="5">
        <v>2200</v>
      </c>
      <c r="J860" s="5">
        <v>2200</v>
      </c>
      <c r="K860" s="5">
        <f>student_data[[#This Row],[Total Fee]]-student_data[[#This Row],[Deposit Fee]]</f>
        <v>0</v>
      </c>
      <c r="L860" s="5" t="str">
        <f>IF(student_data[[#This Row],[Outstanding Fee]]=0,"Paid",IF(student_data[[#This Row],[Deposit Fee]]=0,"Unpaid","Partially Paid"))</f>
        <v>Paid</v>
      </c>
      <c r="M860" s="5" t="s">
        <v>75</v>
      </c>
      <c r="N860"/>
      <c r="O860"/>
      <c r="P860"/>
      <c r="Q860"/>
      <c r="R860"/>
      <c r="S860"/>
      <c r="T860"/>
      <c r="U860"/>
      <c r="V860"/>
      <c r="W860"/>
    </row>
    <row r="861" spans="1:23" ht="15.4">
      <c r="A861" s="5">
        <v>545</v>
      </c>
      <c r="B861" s="5">
        <v>18545</v>
      </c>
      <c r="C861" s="5" t="s">
        <v>51</v>
      </c>
      <c r="D861" s="5" t="s">
        <v>672</v>
      </c>
      <c r="E861" s="5" t="s">
        <v>9</v>
      </c>
      <c r="F861" s="5" t="s">
        <v>1365</v>
      </c>
      <c r="G861" s="8">
        <v>45635</v>
      </c>
      <c r="H861" s="8" t="str">
        <f t="shared" si="13"/>
        <v>Dec</v>
      </c>
      <c r="I861" s="5">
        <v>2200</v>
      </c>
      <c r="J861" s="5">
        <v>1600</v>
      </c>
      <c r="K861" s="5">
        <f>student_data[[#This Row],[Total Fee]]-student_data[[#This Row],[Deposit Fee]]</f>
        <v>600</v>
      </c>
      <c r="L861" s="5" t="str">
        <f>IF(student_data[[#This Row],[Outstanding Fee]]=0,"Paid",IF(student_data[[#This Row],[Deposit Fee]]=0,"Unpaid","Partially Paid"))</f>
        <v>Partially Paid</v>
      </c>
      <c r="M861" s="5" t="s">
        <v>75</v>
      </c>
      <c r="N861"/>
      <c r="O861"/>
      <c r="P861"/>
      <c r="Q861"/>
      <c r="R861"/>
      <c r="S861"/>
      <c r="T861"/>
      <c r="U861"/>
      <c r="V861"/>
      <c r="W861"/>
    </row>
    <row r="862" spans="1:23" ht="15.4">
      <c r="A862" s="5">
        <v>546</v>
      </c>
      <c r="B862" s="5">
        <v>18546</v>
      </c>
      <c r="C862" s="5" t="s">
        <v>165</v>
      </c>
      <c r="D862" s="5" t="s">
        <v>893</v>
      </c>
      <c r="E862" s="5" t="s">
        <v>25</v>
      </c>
      <c r="F862" s="5" t="s">
        <v>1365</v>
      </c>
      <c r="G862" s="8">
        <v>45635</v>
      </c>
      <c r="H862" s="8" t="str">
        <f t="shared" si="13"/>
        <v>Dec</v>
      </c>
      <c r="I862" s="5">
        <v>2200</v>
      </c>
      <c r="J862" s="5">
        <v>2200</v>
      </c>
      <c r="K862" s="5">
        <f>student_data[[#This Row],[Total Fee]]-student_data[[#This Row],[Deposit Fee]]</f>
        <v>0</v>
      </c>
      <c r="L862" s="5" t="str">
        <f>IF(student_data[[#This Row],[Outstanding Fee]]=0,"Paid",IF(student_data[[#This Row],[Deposit Fee]]=0,"Unpaid","Partially Paid"))</f>
        <v>Paid</v>
      </c>
      <c r="M862" s="5" t="s">
        <v>19</v>
      </c>
      <c r="N862"/>
      <c r="O862"/>
      <c r="P862"/>
      <c r="Q862"/>
      <c r="R862"/>
      <c r="S862"/>
      <c r="T862"/>
      <c r="U862"/>
      <c r="V862"/>
      <c r="W862"/>
    </row>
    <row r="863" spans="1:23" ht="15.4">
      <c r="A863" s="5">
        <v>547</v>
      </c>
      <c r="B863" s="5">
        <v>18547</v>
      </c>
      <c r="C863" s="5" t="s">
        <v>108</v>
      </c>
      <c r="D863" s="5" t="s">
        <v>894</v>
      </c>
      <c r="E863" s="5" t="s">
        <v>9</v>
      </c>
      <c r="F863" s="5" t="s">
        <v>1365</v>
      </c>
      <c r="G863" s="8">
        <v>45635</v>
      </c>
      <c r="H863" s="8" t="str">
        <f t="shared" si="13"/>
        <v>Dec</v>
      </c>
      <c r="I863" s="5">
        <v>2200</v>
      </c>
      <c r="J863" s="5">
        <v>2200</v>
      </c>
      <c r="K863" s="5">
        <f>student_data[[#This Row],[Total Fee]]-student_data[[#This Row],[Deposit Fee]]</f>
        <v>0</v>
      </c>
      <c r="L863" s="5" t="str">
        <f>IF(student_data[[#This Row],[Outstanding Fee]]=0,"Paid",IF(student_data[[#This Row],[Deposit Fee]]=0,"Unpaid","Partially Paid"))</f>
        <v>Paid</v>
      </c>
      <c r="M863" s="5" t="s">
        <v>47</v>
      </c>
      <c r="N863"/>
      <c r="O863"/>
      <c r="P863"/>
      <c r="Q863"/>
      <c r="R863"/>
      <c r="S863"/>
      <c r="T863"/>
      <c r="U863"/>
      <c r="V863"/>
      <c r="W863"/>
    </row>
    <row r="864" spans="1:23" ht="15.4">
      <c r="A864" s="5">
        <v>548</v>
      </c>
      <c r="B864" s="5">
        <v>18548</v>
      </c>
      <c r="C864" s="5" t="s">
        <v>895</v>
      </c>
      <c r="D864" s="5" t="s">
        <v>896</v>
      </c>
      <c r="E864" s="5" t="s">
        <v>25</v>
      </c>
      <c r="F864" s="5" t="s">
        <v>1365</v>
      </c>
      <c r="G864" s="8">
        <v>45636</v>
      </c>
      <c r="H864" s="8" t="str">
        <f t="shared" si="13"/>
        <v>Dec</v>
      </c>
      <c r="I864" s="5">
        <v>2200</v>
      </c>
      <c r="J864" s="5">
        <v>1800</v>
      </c>
      <c r="K864" s="5">
        <f>student_data[[#This Row],[Total Fee]]-student_data[[#This Row],[Deposit Fee]]</f>
        <v>400</v>
      </c>
      <c r="L864" s="5" t="str">
        <f>IF(student_data[[#This Row],[Outstanding Fee]]=0,"Paid",IF(student_data[[#This Row],[Deposit Fee]]=0,"Unpaid","Partially Paid"))</f>
        <v>Partially Paid</v>
      </c>
      <c r="M864" s="5" t="s">
        <v>19</v>
      </c>
      <c r="N864"/>
      <c r="O864"/>
      <c r="P864"/>
      <c r="Q864"/>
      <c r="R864"/>
      <c r="S864"/>
      <c r="T864"/>
      <c r="U864"/>
      <c r="V864"/>
      <c r="W864"/>
    </row>
    <row r="865" spans="1:23" ht="15.4">
      <c r="A865" s="5">
        <v>549</v>
      </c>
      <c r="B865" s="5">
        <v>18549</v>
      </c>
      <c r="C865" s="5" t="s">
        <v>704</v>
      </c>
      <c r="D865" s="5" t="s">
        <v>897</v>
      </c>
      <c r="E865" s="5" t="s">
        <v>9</v>
      </c>
      <c r="F865" s="5" t="s">
        <v>1365</v>
      </c>
      <c r="G865" s="8">
        <v>45636</v>
      </c>
      <c r="H865" s="8" t="str">
        <f t="shared" si="13"/>
        <v>Dec</v>
      </c>
      <c r="I865" s="5">
        <v>2200</v>
      </c>
      <c r="J865" s="5">
        <v>1800</v>
      </c>
      <c r="K865" s="5">
        <f>student_data[[#This Row],[Total Fee]]-student_data[[#This Row],[Deposit Fee]]</f>
        <v>400</v>
      </c>
      <c r="L865" s="5" t="str">
        <f>IF(student_data[[#This Row],[Outstanding Fee]]=0,"Paid",IF(student_data[[#This Row],[Deposit Fee]]=0,"Unpaid","Partially Paid"))</f>
        <v>Partially Paid</v>
      </c>
      <c r="M865" s="5" t="s">
        <v>47</v>
      </c>
      <c r="N865"/>
      <c r="O865"/>
      <c r="P865"/>
      <c r="Q865"/>
      <c r="R865"/>
      <c r="S865"/>
      <c r="T865"/>
      <c r="U865"/>
      <c r="V865"/>
      <c r="W865"/>
    </row>
    <row r="866" spans="1:23" ht="15.4">
      <c r="A866" s="5">
        <v>550</v>
      </c>
      <c r="B866" s="5">
        <v>18550</v>
      </c>
      <c r="C866" s="5" t="s">
        <v>167</v>
      </c>
      <c r="D866" s="5" t="s">
        <v>242</v>
      </c>
      <c r="E866" s="5" t="s">
        <v>25</v>
      </c>
      <c r="F866" s="5" t="s">
        <v>1365</v>
      </c>
      <c r="G866" s="8">
        <v>45636</v>
      </c>
      <c r="H866" s="8" t="str">
        <f t="shared" si="13"/>
        <v>Dec</v>
      </c>
      <c r="I866" s="5">
        <v>2200</v>
      </c>
      <c r="J866" s="5">
        <v>2200</v>
      </c>
      <c r="K866" s="5">
        <f>student_data[[#This Row],[Total Fee]]-student_data[[#This Row],[Deposit Fee]]</f>
        <v>0</v>
      </c>
      <c r="L866" s="5" t="str">
        <f>IF(student_data[[#This Row],[Outstanding Fee]]=0,"Paid",IF(student_data[[#This Row],[Deposit Fee]]=0,"Unpaid","Partially Paid"))</f>
        <v>Paid</v>
      </c>
      <c r="M866" s="5" t="s">
        <v>75</v>
      </c>
      <c r="N866"/>
      <c r="O866"/>
      <c r="P866"/>
      <c r="Q866"/>
      <c r="R866"/>
      <c r="S866"/>
      <c r="T866"/>
      <c r="U866"/>
      <c r="V866"/>
      <c r="W866"/>
    </row>
    <row r="867" spans="1:23" ht="15.4">
      <c r="A867" s="5">
        <v>551</v>
      </c>
      <c r="B867" s="5">
        <v>18551</v>
      </c>
      <c r="C867" s="5" t="s">
        <v>11</v>
      </c>
      <c r="D867" s="5" t="s">
        <v>898</v>
      </c>
      <c r="E867" s="5" t="s">
        <v>9</v>
      </c>
      <c r="F867" s="5" t="s">
        <v>1365</v>
      </c>
      <c r="G867" s="8">
        <v>45637</v>
      </c>
      <c r="H867" s="8" t="str">
        <f t="shared" si="13"/>
        <v>Dec</v>
      </c>
      <c r="I867" s="5">
        <v>2200</v>
      </c>
      <c r="J867" s="5">
        <v>1600</v>
      </c>
      <c r="K867" s="5">
        <f>student_data[[#This Row],[Total Fee]]-student_data[[#This Row],[Deposit Fee]]</f>
        <v>600</v>
      </c>
      <c r="L867" s="5" t="str">
        <f>IF(student_data[[#This Row],[Outstanding Fee]]=0,"Paid",IF(student_data[[#This Row],[Deposit Fee]]=0,"Unpaid","Partially Paid"))</f>
        <v>Partially Paid</v>
      </c>
      <c r="M867" s="5" t="s">
        <v>89</v>
      </c>
      <c r="N867"/>
      <c r="O867"/>
      <c r="P867"/>
      <c r="Q867"/>
      <c r="R867"/>
      <c r="S867"/>
      <c r="T867"/>
      <c r="U867"/>
      <c r="V867"/>
      <c r="W867"/>
    </row>
    <row r="868" spans="1:23" ht="15.4">
      <c r="A868" s="5">
        <v>552</v>
      </c>
      <c r="B868" s="5">
        <v>18552</v>
      </c>
      <c r="C868" s="5" t="s">
        <v>899</v>
      </c>
      <c r="D868" s="5" t="s">
        <v>693</v>
      </c>
      <c r="E868" s="5" t="s">
        <v>9</v>
      </c>
      <c r="F868" s="5" t="s">
        <v>1365</v>
      </c>
      <c r="G868" s="8">
        <v>45637</v>
      </c>
      <c r="H868" s="8" t="str">
        <f t="shared" si="13"/>
        <v>Dec</v>
      </c>
      <c r="I868" s="5">
        <v>2200</v>
      </c>
      <c r="J868" s="5">
        <v>2200</v>
      </c>
      <c r="K868" s="5">
        <f>student_data[[#This Row],[Total Fee]]-student_data[[#This Row],[Deposit Fee]]</f>
        <v>0</v>
      </c>
      <c r="L868" s="5" t="str">
        <f>IF(student_data[[#This Row],[Outstanding Fee]]=0,"Paid",IF(student_data[[#This Row],[Deposit Fee]]=0,"Unpaid","Partially Paid"))</f>
        <v>Paid</v>
      </c>
      <c r="M868" s="5" t="s">
        <v>29</v>
      </c>
      <c r="N868"/>
      <c r="O868"/>
      <c r="P868"/>
      <c r="Q868"/>
      <c r="R868"/>
      <c r="S868"/>
      <c r="T868"/>
      <c r="U868"/>
      <c r="V868"/>
      <c r="W868"/>
    </row>
    <row r="869" spans="1:23" ht="15.4">
      <c r="A869" s="5">
        <v>553</v>
      </c>
      <c r="B869" s="5">
        <v>18553</v>
      </c>
      <c r="C869" s="5" t="s">
        <v>900</v>
      </c>
      <c r="D869" s="5" t="s">
        <v>248</v>
      </c>
      <c r="E869" s="5" t="s">
        <v>9</v>
      </c>
      <c r="F869" s="5" t="s">
        <v>1365</v>
      </c>
      <c r="G869" s="8">
        <v>45637</v>
      </c>
      <c r="H869" s="8" t="str">
        <f t="shared" si="13"/>
        <v>Dec</v>
      </c>
      <c r="I869" s="5">
        <v>2200</v>
      </c>
      <c r="J869" s="5">
        <v>1600</v>
      </c>
      <c r="K869" s="5">
        <f>student_data[[#This Row],[Total Fee]]-student_data[[#This Row],[Deposit Fee]]</f>
        <v>600</v>
      </c>
      <c r="L869" s="5" t="str">
        <f>IF(student_data[[#This Row],[Outstanding Fee]]=0,"Paid",IF(student_data[[#This Row],[Deposit Fee]]=0,"Unpaid","Partially Paid"))</f>
        <v>Partially Paid</v>
      </c>
      <c r="M869" s="5" t="s">
        <v>10</v>
      </c>
      <c r="N869"/>
      <c r="O869"/>
      <c r="P869"/>
      <c r="Q869"/>
      <c r="R869"/>
      <c r="S869"/>
      <c r="T869"/>
      <c r="U869"/>
      <c r="V869"/>
      <c r="W869"/>
    </row>
    <row r="870" spans="1:23" ht="15.4">
      <c r="A870" s="5">
        <v>554</v>
      </c>
      <c r="B870" s="5">
        <v>18554</v>
      </c>
      <c r="C870" s="5" t="s">
        <v>217</v>
      </c>
      <c r="D870" s="5" t="s">
        <v>901</v>
      </c>
      <c r="E870" s="5" t="s">
        <v>25</v>
      </c>
      <c r="F870" s="5" t="s">
        <v>1365</v>
      </c>
      <c r="G870" s="8">
        <v>45638</v>
      </c>
      <c r="H870" s="8" t="str">
        <f t="shared" si="13"/>
        <v>Dec</v>
      </c>
      <c r="I870" s="5">
        <v>2200</v>
      </c>
      <c r="J870" s="5">
        <v>100</v>
      </c>
      <c r="K870" s="5">
        <f>student_data[[#This Row],[Total Fee]]-student_data[[#This Row],[Deposit Fee]]</f>
        <v>2100</v>
      </c>
      <c r="L870" s="5" t="str">
        <f>IF(student_data[[#This Row],[Outstanding Fee]]=0,"Paid",IF(student_data[[#This Row],[Deposit Fee]]=0,"Unpaid","Partially Paid"))</f>
        <v>Partially Paid</v>
      </c>
      <c r="M870" s="5" t="s">
        <v>13</v>
      </c>
      <c r="N870"/>
      <c r="O870"/>
      <c r="P870"/>
      <c r="Q870"/>
      <c r="R870"/>
      <c r="S870"/>
      <c r="T870"/>
      <c r="U870"/>
      <c r="V870"/>
      <c r="W870"/>
    </row>
    <row r="871" spans="1:23" ht="15.4">
      <c r="A871" s="5">
        <v>555</v>
      </c>
      <c r="B871" s="5">
        <v>18555</v>
      </c>
      <c r="C871" s="5" t="s">
        <v>199</v>
      </c>
      <c r="D871" s="5" t="s">
        <v>636</v>
      </c>
      <c r="E871" s="5" t="s">
        <v>25</v>
      </c>
      <c r="F871" s="5" t="s">
        <v>1365</v>
      </c>
      <c r="G871" s="8">
        <v>45638</v>
      </c>
      <c r="H871" s="8" t="str">
        <f t="shared" si="13"/>
        <v>Dec</v>
      </c>
      <c r="I871" s="5">
        <v>2200</v>
      </c>
      <c r="J871" s="5">
        <v>2200</v>
      </c>
      <c r="K871" s="5">
        <f>student_data[[#This Row],[Total Fee]]-student_data[[#This Row],[Deposit Fee]]</f>
        <v>0</v>
      </c>
      <c r="L871" s="5" t="str">
        <f>IF(student_data[[#This Row],[Outstanding Fee]]=0,"Paid",IF(student_data[[#This Row],[Deposit Fee]]=0,"Unpaid","Partially Paid"))</f>
        <v>Paid</v>
      </c>
      <c r="M871" s="5" t="s">
        <v>38</v>
      </c>
      <c r="N871"/>
      <c r="O871"/>
      <c r="P871"/>
      <c r="Q871"/>
      <c r="R871"/>
      <c r="S871"/>
      <c r="T871"/>
      <c r="U871"/>
      <c r="V871"/>
      <c r="W871"/>
    </row>
    <row r="872" spans="1:23" ht="15.4">
      <c r="A872" s="5">
        <v>556</v>
      </c>
      <c r="B872" s="5">
        <v>18556</v>
      </c>
      <c r="C872" s="5" t="s">
        <v>215</v>
      </c>
      <c r="D872" s="5" t="s">
        <v>84</v>
      </c>
      <c r="E872" s="5" t="s">
        <v>9</v>
      </c>
      <c r="F872" s="5" t="s">
        <v>1365</v>
      </c>
      <c r="G872" s="8">
        <v>45638</v>
      </c>
      <c r="H872" s="8" t="str">
        <f t="shared" si="13"/>
        <v>Dec</v>
      </c>
      <c r="I872" s="5">
        <v>2200</v>
      </c>
      <c r="J872" s="5">
        <v>2200</v>
      </c>
      <c r="K872" s="5">
        <f>student_data[[#This Row],[Total Fee]]-student_data[[#This Row],[Deposit Fee]]</f>
        <v>0</v>
      </c>
      <c r="L872" s="5" t="str">
        <f>IF(student_data[[#This Row],[Outstanding Fee]]=0,"Paid",IF(student_data[[#This Row],[Deposit Fee]]=0,"Unpaid","Partially Paid"))</f>
        <v>Paid</v>
      </c>
      <c r="M872" s="5" t="s">
        <v>78</v>
      </c>
      <c r="N872"/>
      <c r="O872"/>
      <c r="P872"/>
      <c r="Q872"/>
      <c r="R872"/>
      <c r="S872"/>
      <c r="T872"/>
      <c r="U872"/>
      <c r="V872"/>
      <c r="W872"/>
    </row>
    <row r="873" spans="1:23" ht="15.4">
      <c r="A873" s="5">
        <v>557</v>
      </c>
      <c r="B873" s="5">
        <v>18557</v>
      </c>
      <c r="C873" s="5" t="s">
        <v>220</v>
      </c>
      <c r="D873" s="5" t="s">
        <v>902</v>
      </c>
      <c r="E873" s="5" t="s">
        <v>25</v>
      </c>
      <c r="F873" s="5" t="s">
        <v>1365</v>
      </c>
      <c r="G873" s="8">
        <v>45639</v>
      </c>
      <c r="H873" s="8" t="str">
        <f t="shared" si="13"/>
        <v>Dec</v>
      </c>
      <c r="I873" s="5">
        <v>2200</v>
      </c>
      <c r="J873" s="5">
        <v>1600</v>
      </c>
      <c r="K873" s="5">
        <f>student_data[[#This Row],[Total Fee]]-student_data[[#This Row],[Deposit Fee]]</f>
        <v>600</v>
      </c>
      <c r="L873" s="5" t="str">
        <f>IF(student_data[[#This Row],[Outstanding Fee]]=0,"Paid",IF(student_data[[#This Row],[Deposit Fee]]=0,"Unpaid","Partially Paid"))</f>
        <v>Partially Paid</v>
      </c>
      <c r="M873" s="5" t="s">
        <v>16</v>
      </c>
      <c r="N873"/>
      <c r="O873"/>
      <c r="P873"/>
      <c r="Q873"/>
      <c r="R873"/>
      <c r="S873"/>
      <c r="T873"/>
      <c r="U873"/>
      <c r="V873"/>
      <c r="W873"/>
    </row>
    <row r="874" spans="1:23" ht="15.4">
      <c r="A874" s="5">
        <v>558</v>
      </c>
      <c r="B874" s="5">
        <v>18558</v>
      </c>
      <c r="C874" s="5" t="s">
        <v>203</v>
      </c>
      <c r="D874" s="5" t="s">
        <v>84</v>
      </c>
      <c r="E874" s="5" t="s">
        <v>9</v>
      </c>
      <c r="F874" s="5" t="s">
        <v>1365</v>
      </c>
      <c r="G874" s="8">
        <v>45639</v>
      </c>
      <c r="H874" s="8" t="str">
        <f t="shared" si="13"/>
        <v>Dec</v>
      </c>
      <c r="I874" s="5">
        <v>2200</v>
      </c>
      <c r="J874" s="5">
        <v>2200</v>
      </c>
      <c r="K874" s="5">
        <f>student_data[[#This Row],[Total Fee]]-student_data[[#This Row],[Deposit Fee]]</f>
        <v>0</v>
      </c>
      <c r="L874" s="5" t="str">
        <f>IF(student_data[[#This Row],[Outstanding Fee]]=0,"Paid",IF(student_data[[#This Row],[Deposit Fee]]=0,"Unpaid","Partially Paid"))</f>
        <v>Paid</v>
      </c>
      <c r="M874" s="5" t="s">
        <v>19</v>
      </c>
      <c r="N874"/>
      <c r="O874"/>
      <c r="P874"/>
      <c r="Q874"/>
      <c r="R874"/>
      <c r="S874"/>
      <c r="T874"/>
      <c r="U874"/>
      <c r="V874"/>
      <c r="W874"/>
    </row>
    <row r="875" spans="1:23" ht="15.4">
      <c r="A875" s="5">
        <v>559</v>
      </c>
      <c r="B875" s="5">
        <v>18559</v>
      </c>
      <c r="C875" s="5" t="s">
        <v>208</v>
      </c>
      <c r="D875" s="5" t="s">
        <v>903</v>
      </c>
      <c r="E875" s="5" t="s">
        <v>9</v>
      </c>
      <c r="F875" s="5" t="s">
        <v>1365</v>
      </c>
      <c r="G875" s="8">
        <v>45639</v>
      </c>
      <c r="H875" s="8" t="str">
        <f t="shared" si="13"/>
        <v>Dec</v>
      </c>
      <c r="I875" s="5">
        <v>2200</v>
      </c>
      <c r="J875" s="5">
        <v>2200</v>
      </c>
      <c r="K875" s="5">
        <f>student_data[[#This Row],[Total Fee]]-student_data[[#This Row],[Deposit Fee]]</f>
        <v>0</v>
      </c>
      <c r="L875" s="5" t="str">
        <f>IF(student_data[[#This Row],[Outstanding Fee]]=0,"Paid",IF(student_data[[#This Row],[Deposit Fee]]=0,"Unpaid","Partially Paid"))</f>
        <v>Paid</v>
      </c>
      <c r="M875" s="5" t="s">
        <v>47</v>
      </c>
      <c r="N875"/>
      <c r="O875"/>
      <c r="P875"/>
      <c r="Q875"/>
      <c r="R875"/>
      <c r="S875"/>
      <c r="T875"/>
      <c r="U875"/>
      <c r="V875"/>
      <c r="W875"/>
    </row>
    <row r="876" spans="1:23" ht="15.4">
      <c r="A876" s="5">
        <v>560</v>
      </c>
      <c r="B876" s="5">
        <v>18560</v>
      </c>
      <c r="C876" s="5" t="s">
        <v>210</v>
      </c>
      <c r="D876" s="5" t="s">
        <v>904</v>
      </c>
      <c r="E876" s="5" t="s">
        <v>9</v>
      </c>
      <c r="F876" s="5" t="s">
        <v>1365</v>
      </c>
      <c r="G876" s="8">
        <v>45640</v>
      </c>
      <c r="H876" s="8" t="str">
        <f t="shared" si="13"/>
        <v>Dec</v>
      </c>
      <c r="I876" s="5">
        <v>2200</v>
      </c>
      <c r="J876" s="5">
        <v>1800</v>
      </c>
      <c r="K876" s="5">
        <f>student_data[[#This Row],[Total Fee]]-student_data[[#This Row],[Deposit Fee]]</f>
        <v>400</v>
      </c>
      <c r="L876" s="5" t="str">
        <f>IF(student_data[[#This Row],[Outstanding Fee]]=0,"Paid",IF(student_data[[#This Row],[Deposit Fee]]=0,"Unpaid","Partially Paid"))</f>
        <v>Partially Paid</v>
      </c>
      <c r="M876" s="5" t="s">
        <v>75</v>
      </c>
      <c r="N876"/>
      <c r="O876"/>
      <c r="P876"/>
      <c r="Q876"/>
      <c r="R876"/>
      <c r="S876"/>
      <c r="T876"/>
      <c r="U876"/>
      <c r="V876"/>
      <c r="W876"/>
    </row>
    <row r="877" spans="1:23" ht="15.4">
      <c r="A877" s="5">
        <v>561</v>
      </c>
      <c r="B877" s="5">
        <v>18561</v>
      </c>
      <c r="C877" s="5" t="s">
        <v>218</v>
      </c>
      <c r="D877" s="5" t="s">
        <v>905</v>
      </c>
      <c r="E877" s="5" t="s">
        <v>9</v>
      </c>
      <c r="F877" s="5" t="s">
        <v>1365</v>
      </c>
      <c r="G877" s="8">
        <v>45640</v>
      </c>
      <c r="H877" s="8" t="str">
        <f t="shared" si="13"/>
        <v>Dec</v>
      </c>
      <c r="I877" s="5">
        <v>2200</v>
      </c>
      <c r="J877" s="5">
        <v>2200</v>
      </c>
      <c r="K877" s="5">
        <f>student_data[[#This Row],[Total Fee]]-student_data[[#This Row],[Deposit Fee]]</f>
        <v>0</v>
      </c>
      <c r="L877" s="5" t="str">
        <f>IF(student_data[[#This Row],[Outstanding Fee]]=0,"Paid",IF(student_data[[#This Row],[Deposit Fee]]=0,"Unpaid","Partially Paid"))</f>
        <v>Paid</v>
      </c>
      <c r="M877" s="5" t="s">
        <v>89</v>
      </c>
      <c r="N877"/>
      <c r="O877"/>
      <c r="P877"/>
      <c r="Q877"/>
      <c r="R877"/>
      <c r="S877"/>
      <c r="T877"/>
      <c r="U877"/>
      <c r="V877"/>
      <c r="W877"/>
    </row>
    <row r="878" spans="1:23" ht="15.4">
      <c r="A878" s="5">
        <v>562</v>
      </c>
      <c r="B878" s="5">
        <v>18562</v>
      </c>
      <c r="C878" s="5" t="s">
        <v>197</v>
      </c>
      <c r="D878" s="5" t="s">
        <v>647</v>
      </c>
      <c r="E878" s="5" t="s">
        <v>9</v>
      </c>
      <c r="F878" s="5" t="s">
        <v>1365</v>
      </c>
      <c r="G878" s="8">
        <v>45640</v>
      </c>
      <c r="H878" s="8" t="str">
        <f t="shared" si="13"/>
        <v>Dec</v>
      </c>
      <c r="I878" s="5">
        <v>2200</v>
      </c>
      <c r="J878" s="5">
        <v>1800</v>
      </c>
      <c r="K878" s="5">
        <f>student_data[[#This Row],[Total Fee]]-student_data[[#This Row],[Deposit Fee]]</f>
        <v>400</v>
      </c>
      <c r="L878" s="5" t="str">
        <f>IF(student_data[[#This Row],[Outstanding Fee]]=0,"Paid",IF(student_data[[#This Row],[Deposit Fee]]=0,"Unpaid","Partially Paid"))</f>
        <v>Partially Paid</v>
      </c>
      <c r="M878" s="5" t="s">
        <v>29</v>
      </c>
      <c r="N878"/>
      <c r="O878"/>
      <c r="P878"/>
      <c r="Q878"/>
      <c r="R878"/>
      <c r="S878"/>
      <c r="T878"/>
      <c r="U878"/>
      <c r="V878"/>
      <c r="W878"/>
    </row>
    <row r="879" spans="1:23" ht="15.4">
      <c r="A879" s="5">
        <v>563</v>
      </c>
      <c r="B879" s="5">
        <v>18563</v>
      </c>
      <c r="C879" s="5" t="s">
        <v>225</v>
      </c>
      <c r="D879" s="5" t="s">
        <v>343</v>
      </c>
      <c r="E879" s="5" t="s">
        <v>25</v>
      </c>
      <c r="F879" s="5" t="s">
        <v>1365</v>
      </c>
      <c r="G879" s="8">
        <v>45642</v>
      </c>
      <c r="H879" s="8" t="str">
        <f t="shared" si="13"/>
        <v>Dec</v>
      </c>
      <c r="I879" s="5">
        <v>2200</v>
      </c>
      <c r="J879" s="5">
        <v>1600</v>
      </c>
      <c r="K879" s="5">
        <f>student_data[[#This Row],[Total Fee]]-student_data[[#This Row],[Deposit Fee]]</f>
        <v>600</v>
      </c>
      <c r="L879" s="5" t="str">
        <f>IF(student_data[[#This Row],[Outstanding Fee]]=0,"Paid",IF(student_data[[#This Row],[Deposit Fee]]=0,"Unpaid","Partially Paid"))</f>
        <v>Partially Paid</v>
      </c>
      <c r="M879" s="5" t="s">
        <v>10</v>
      </c>
      <c r="N879"/>
      <c r="O879"/>
      <c r="P879"/>
      <c r="Q879"/>
      <c r="R879"/>
      <c r="S879"/>
      <c r="T879"/>
      <c r="U879"/>
      <c r="V879"/>
      <c r="W879"/>
    </row>
    <row r="880" spans="1:23" ht="15.4">
      <c r="A880" s="5">
        <v>564</v>
      </c>
      <c r="B880" s="5">
        <v>18564</v>
      </c>
      <c r="C880" s="5" t="s">
        <v>206</v>
      </c>
      <c r="D880" s="5" t="s">
        <v>561</v>
      </c>
      <c r="E880" s="5" t="s">
        <v>25</v>
      </c>
      <c r="F880" s="5" t="s">
        <v>1365</v>
      </c>
      <c r="G880" s="8">
        <v>45642</v>
      </c>
      <c r="H880" s="8" t="str">
        <f t="shared" si="13"/>
        <v>Dec</v>
      </c>
      <c r="I880" s="5">
        <v>2200</v>
      </c>
      <c r="J880" s="5">
        <v>2200</v>
      </c>
      <c r="K880" s="5">
        <f>student_data[[#This Row],[Total Fee]]-student_data[[#This Row],[Deposit Fee]]</f>
        <v>0</v>
      </c>
      <c r="L880" s="5" t="str">
        <f>IF(student_data[[#This Row],[Outstanding Fee]]=0,"Paid",IF(student_data[[#This Row],[Deposit Fee]]=0,"Unpaid","Partially Paid"))</f>
        <v>Paid</v>
      </c>
      <c r="M880" s="5" t="s">
        <v>13</v>
      </c>
      <c r="N880"/>
      <c r="O880"/>
      <c r="P880"/>
      <c r="Q880"/>
      <c r="R880"/>
      <c r="S880"/>
      <c r="T880"/>
      <c r="U880"/>
      <c r="V880"/>
      <c r="W880"/>
    </row>
    <row r="881" spans="1:23" ht="15.4">
      <c r="A881" s="5">
        <v>565</v>
      </c>
      <c r="B881" s="5">
        <v>18565</v>
      </c>
      <c r="C881" s="5" t="s">
        <v>223</v>
      </c>
      <c r="D881" s="5" t="s">
        <v>241</v>
      </c>
      <c r="E881" s="5" t="s">
        <v>25</v>
      </c>
      <c r="F881" s="5" t="s">
        <v>1365</v>
      </c>
      <c r="G881" s="8">
        <v>45642</v>
      </c>
      <c r="H881" s="8" t="str">
        <f t="shared" si="13"/>
        <v>Dec</v>
      </c>
      <c r="I881" s="5">
        <v>2200</v>
      </c>
      <c r="J881" s="5">
        <v>1600</v>
      </c>
      <c r="K881" s="5">
        <f>student_data[[#This Row],[Total Fee]]-student_data[[#This Row],[Deposit Fee]]</f>
        <v>600</v>
      </c>
      <c r="L881" s="5" t="str">
        <f>IF(student_data[[#This Row],[Outstanding Fee]]=0,"Paid",IF(student_data[[#This Row],[Deposit Fee]]=0,"Unpaid","Partially Paid"))</f>
        <v>Partially Paid</v>
      </c>
      <c r="M881" s="5" t="s">
        <v>38</v>
      </c>
      <c r="N881"/>
      <c r="O881"/>
      <c r="P881"/>
      <c r="Q881"/>
      <c r="R881"/>
      <c r="S881"/>
      <c r="T881"/>
      <c r="U881"/>
      <c r="V881"/>
      <c r="W881"/>
    </row>
    <row r="882" spans="1:23" ht="15.4">
      <c r="A882" s="5">
        <v>566</v>
      </c>
      <c r="B882" s="5">
        <v>18566</v>
      </c>
      <c r="C882" s="5" t="s">
        <v>195</v>
      </c>
      <c r="D882" s="5" t="s">
        <v>153</v>
      </c>
      <c r="E882" s="5" t="s">
        <v>9</v>
      </c>
      <c r="F882" s="5" t="s">
        <v>1365</v>
      </c>
      <c r="G882" s="8">
        <v>45643</v>
      </c>
      <c r="H882" s="8" t="str">
        <f t="shared" si="13"/>
        <v>Dec</v>
      </c>
      <c r="I882" s="5">
        <v>2200</v>
      </c>
      <c r="J882" s="5">
        <v>1600</v>
      </c>
      <c r="K882" s="5">
        <f>student_data[[#This Row],[Total Fee]]-student_data[[#This Row],[Deposit Fee]]</f>
        <v>600</v>
      </c>
      <c r="L882" s="5" t="str">
        <f>IF(student_data[[#This Row],[Outstanding Fee]]=0,"Paid",IF(student_data[[#This Row],[Deposit Fee]]=0,"Unpaid","Partially Paid"))</f>
        <v>Partially Paid</v>
      </c>
      <c r="M882" s="5" t="s">
        <v>78</v>
      </c>
      <c r="N882"/>
      <c r="O882"/>
      <c r="P882"/>
      <c r="Q882"/>
      <c r="R882"/>
      <c r="S882"/>
      <c r="T882"/>
      <c r="U882"/>
      <c r="V882"/>
      <c r="W882"/>
    </row>
    <row r="883" spans="1:23" ht="15.4">
      <c r="A883" s="5">
        <v>567</v>
      </c>
      <c r="B883" s="5">
        <v>18567</v>
      </c>
      <c r="C883" s="5" t="s">
        <v>204</v>
      </c>
      <c r="D883" s="5" t="s">
        <v>906</v>
      </c>
      <c r="E883" s="5" t="s">
        <v>9</v>
      </c>
      <c r="F883" s="5" t="s">
        <v>1365</v>
      </c>
      <c r="G883" s="8">
        <v>45643</v>
      </c>
      <c r="H883" s="8" t="str">
        <f t="shared" si="13"/>
        <v>Dec</v>
      </c>
      <c r="I883" s="5">
        <v>2200</v>
      </c>
      <c r="J883" s="5">
        <v>2200</v>
      </c>
      <c r="K883" s="5">
        <f>student_data[[#This Row],[Total Fee]]-student_data[[#This Row],[Deposit Fee]]</f>
        <v>0</v>
      </c>
      <c r="L883" s="5" t="str">
        <f>IF(student_data[[#This Row],[Outstanding Fee]]=0,"Paid",IF(student_data[[#This Row],[Deposit Fee]]=0,"Unpaid","Partially Paid"))</f>
        <v>Paid</v>
      </c>
      <c r="M883" s="5" t="s">
        <v>16</v>
      </c>
      <c r="N883"/>
      <c r="O883"/>
      <c r="P883"/>
      <c r="Q883"/>
      <c r="R883"/>
      <c r="S883"/>
      <c r="T883"/>
      <c r="U883"/>
      <c r="V883"/>
      <c r="W883"/>
    </row>
    <row r="884" spans="1:23" ht="15.4">
      <c r="A884" s="5">
        <v>568</v>
      </c>
      <c r="B884" s="5">
        <v>18568</v>
      </c>
      <c r="C884" s="5" t="s">
        <v>229</v>
      </c>
      <c r="D884" s="5" t="s">
        <v>907</v>
      </c>
      <c r="E884" s="5" t="s">
        <v>9</v>
      </c>
      <c r="F884" s="5" t="s">
        <v>1365</v>
      </c>
      <c r="G884" s="8">
        <v>45643</v>
      </c>
      <c r="H884" s="8" t="str">
        <f t="shared" si="13"/>
        <v>Dec</v>
      </c>
      <c r="I884" s="5">
        <v>2200</v>
      </c>
      <c r="J884" s="5">
        <v>2200</v>
      </c>
      <c r="K884" s="5">
        <f>student_data[[#This Row],[Total Fee]]-student_data[[#This Row],[Deposit Fee]]</f>
        <v>0</v>
      </c>
      <c r="L884" s="5" t="str">
        <f>IF(student_data[[#This Row],[Outstanding Fee]]=0,"Paid",IF(student_data[[#This Row],[Deposit Fee]]=0,"Unpaid","Partially Paid"))</f>
        <v>Paid</v>
      </c>
      <c r="M884" s="5" t="s">
        <v>19</v>
      </c>
      <c r="N884"/>
      <c r="O884"/>
      <c r="P884"/>
      <c r="Q884"/>
      <c r="R884"/>
      <c r="S884"/>
      <c r="T884"/>
      <c r="U884"/>
      <c r="V884"/>
      <c r="W884"/>
    </row>
    <row r="885" spans="1:23" ht="15.4">
      <c r="A885" s="5">
        <v>569</v>
      </c>
      <c r="B885" s="5">
        <v>18569</v>
      </c>
      <c r="C885" s="5" t="s">
        <v>201</v>
      </c>
      <c r="D885" s="5" t="s">
        <v>908</v>
      </c>
      <c r="E885" s="5" t="s">
        <v>25</v>
      </c>
      <c r="F885" s="5" t="s">
        <v>1365</v>
      </c>
      <c r="G885" s="8">
        <v>45644</v>
      </c>
      <c r="H885" s="8" t="str">
        <f t="shared" si="13"/>
        <v>Dec</v>
      </c>
      <c r="I885" s="5">
        <v>2200</v>
      </c>
      <c r="J885" s="5">
        <v>2200</v>
      </c>
      <c r="K885" s="5">
        <f>student_data[[#This Row],[Total Fee]]-student_data[[#This Row],[Deposit Fee]]</f>
        <v>0</v>
      </c>
      <c r="L885" s="5" t="str">
        <f>IF(student_data[[#This Row],[Outstanding Fee]]=0,"Paid",IF(student_data[[#This Row],[Deposit Fee]]=0,"Unpaid","Partially Paid"))</f>
        <v>Paid</v>
      </c>
      <c r="M885" s="5" t="s">
        <v>47</v>
      </c>
      <c r="N885"/>
      <c r="O885"/>
      <c r="P885"/>
      <c r="Q885"/>
      <c r="R885"/>
      <c r="S885"/>
      <c r="T885"/>
      <c r="U885"/>
      <c r="V885"/>
      <c r="W885"/>
    </row>
    <row r="886" spans="1:23" ht="15.4">
      <c r="A886" s="5">
        <v>570</v>
      </c>
      <c r="B886" s="5">
        <v>18570</v>
      </c>
      <c r="C886" s="5" t="s">
        <v>222</v>
      </c>
      <c r="D886" s="5" t="s">
        <v>574</v>
      </c>
      <c r="E886" s="5" t="s">
        <v>9</v>
      </c>
      <c r="F886" s="5" t="s">
        <v>1365</v>
      </c>
      <c r="G886" s="8">
        <v>45644</v>
      </c>
      <c r="H886" s="8" t="str">
        <f t="shared" si="13"/>
        <v>Dec</v>
      </c>
      <c r="I886" s="5">
        <v>2200</v>
      </c>
      <c r="J886" s="5">
        <v>1600</v>
      </c>
      <c r="K886" s="5">
        <f>student_data[[#This Row],[Total Fee]]-student_data[[#This Row],[Deposit Fee]]</f>
        <v>600</v>
      </c>
      <c r="L886" s="5" t="str">
        <f>IF(student_data[[#This Row],[Outstanding Fee]]=0,"Paid",IF(student_data[[#This Row],[Deposit Fee]]=0,"Unpaid","Partially Paid"))</f>
        <v>Partially Paid</v>
      </c>
      <c r="M886" s="5" t="s">
        <v>75</v>
      </c>
      <c r="N886"/>
      <c r="O886"/>
      <c r="P886"/>
      <c r="Q886"/>
      <c r="R886"/>
      <c r="S886"/>
      <c r="T886"/>
      <c r="U886"/>
      <c r="V886"/>
      <c r="W886"/>
    </row>
    <row r="887" spans="1:23" ht="15.4">
      <c r="A887" s="5">
        <v>571</v>
      </c>
      <c r="B887" s="5">
        <v>18571</v>
      </c>
      <c r="C887" s="5" t="s">
        <v>213</v>
      </c>
      <c r="D887" s="5" t="s">
        <v>648</v>
      </c>
      <c r="E887" s="5" t="s">
        <v>9</v>
      </c>
      <c r="F887" s="5" t="s">
        <v>1365</v>
      </c>
      <c r="G887" s="8">
        <v>45644</v>
      </c>
      <c r="H887" s="8" t="str">
        <f t="shared" si="13"/>
        <v>Dec</v>
      </c>
      <c r="I887" s="5">
        <v>2200</v>
      </c>
      <c r="J887" s="5">
        <v>2200</v>
      </c>
      <c r="K887" s="5">
        <f>student_data[[#This Row],[Total Fee]]-student_data[[#This Row],[Deposit Fee]]</f>
        <v>0</v>
      </c>
      <c r="L887" s="5" t="str">
        <f>IF(student_data[[#This Row],[Outstanding Fee]]=0,"Paid",IF(student_data[[#This Row],[Deposit Fee]]=0,"Unpaid","Partially Paid"))</f>
        <v>Paid</v>
      </c>
      <c r="M887" s="5" t="s">
        <v>89</v>
      </c>
      <c r="N887"/>
      <c r="O887"/>
      <c r="P887"/>
      <c r="Q887"/>
      <c r="R887"/>
      <c r="S887"/>
      <c r="T887"/>
      <c r="U887"/>
      <c r="V887"/>
      <c r="W887"/>
    </row>
    <row r="888" spans="1:23" ht="15.4">
      <c r="A888" s="5">
        <v>572</v>
      </c>
      <c r="B888" s="5">
        <v>18572</v>
      </c>
      <c r="C888" s="5" t="s">
        <v>212</v>
      </c>
      <c r="D888" s="5" t="s">
        <v>250</v>
      </c>
      <c r="E888" s="5" t="s">
        <v>25</v>
      </c>
      <c r="F888" s="5" t="s">
        <v>1365</v>
      </c>
      <c r="G888" s="8">
        <v>45645</v>
      </c>
      <c r="H888" s="8" t="str">
        <f t="shared" si="13"/>
        <v>Dec</v>
      </c>
      <c r="I888" s="5">
        <v>2200</v>
      </c>
      <c r="J888" s="5">
        <v>1800</v>
      </c>
      <c r="K888" s="5">
        <f>student_data[[#This Row],[Total Fee]]-student_data[[#This Row],[Deposit Fee]]</f>
        <v>400</v>
      </c>
      <c r="L888" s="5" t="str">
        <f>IF(student_data[[#This Row],[Outstanding Fee]]=0,"Paid",IF(student_data[[#This Row],[Deposit Fee]]=0,"Unpaid","Partially Paid"))</f>
        <v>Partially Paid</v>
      </c>
      <c r="M888" s="5" t="s">
        <v>29</v>
      </c>
      <c r="N888"/>
      <c r="O888"/>
      <c r="P888"/>
      <c r="Q888"/>
      <c r="R888"/>
      <c r="S888"/>
      <c r="T888"/>
      <c r="U888"/>
      <c r="V888"/>
      <c r="W888"/>
    </row>
    <row r="889" spans="1:23" ht="15.4">
      <c r="A889" s="5">
        <v>573</v>
      </c>
      <c r="B889" s="5">
        <v>18573</v>
      </c>
      <c r="C889" s="5" t="s">
        <v>227</v>
      </c>
      <c r="D889" s="5" t="s">
        <v>909</v>
      </c>
      <c r="E889" s="5" t="s">
        <v>25</v>
      </c>
      <c r="F889" s="5" t="s">
        <v>1365</v>
      </c>
      <c r="G889" s="8">
        <v>45645</v>
      </c>
      <c r="H889" s="8" t="str">
        <f t="shared" si="13"/>
        <v>Dec</v>
      </c>
      <c r="I889" s="5">
        <v>2200</v>
      </c>
      <c r="J889" s="5">
        <v>2200</v>
      </c>
      <c r="K889" s="5">
        <f>student_data[[#This Row],[Total Fee]]-student_data[[#This Row],[Deposit Fee]]</f>
        <v>0</v>
      </c>
      <c r="L889" s="5" t="str">
        <f>IF(student_data[[#This Row],[Outstanding Fee]]=0,"Paid",IF(student_data[[#This Row],[Deposit Fee]]=0,"Unpaid","Partially Paid"))</f>
        <v>Paid</v>
      </c>
      <c r="M889" s="5" t="s">
        <v>75</v>
      </c>
      <c r="N889"/>
      <c r="O889"/>
      <c r="P889"/>
      <c r="Q889"/>
      <c r="R889"/>
      <c r="S889"/>
      <c r="T889"/>
      <c r="U889"/>
      <c r="V889"/>
      <c r="W889"/>
    </row>
    <row r="890" spans="1:23" ht="15.4">
      <c r="A890" s="5">
        <v>574</v>
      </c>
      <c r="B890" s="5">
        <v>18574</v>
      </c>
      <c r="C890" s="5" t="s">
        <v>231</v>
      </c>
      <c r="D890" s="5" t="s">
        <v>910</v>
      </c>
      <c r="E890" s="5" t="s">
        <v>9</v>
      </c>
      <c r="F890" s="5" t="s">
        <v>1365</v>
      </c>
      <c r="G890" s="8">
        <v>45645</v>
      </c>
      <c r="H890" s="8" t="str">
        <f t="shared" si="13"/>
        <v>Dec</v>
      </c>
      <c r="I890" s="5">
        <v>2200</v>
      </c>
      <c r="J890" s="5">
        <v>1800</v>
      </c>
      <c r="K890" s="5">
        <f>student_data[[#This Row],[Total Fee]]-student_data[[#This Row],[Deposit Fee]]</f>
        <v>400</v>
      </c>
      <c r="L890" s="5" t="str">
        <f>IF(student_data[[#This Row],[Outstanding Fee]]=0,"Paid",IF(student_data[[#This Row],[Deposit Fee]]=0,"Unpaid","Partially Paid"))</f>
        <v>Partially Paid</v>
      </c>
      <c r="M890" s="5" t="s">
        <v>75</v>
      </c>
      <c r="N890"/>
      <c r="O890"/>
      <c r="P890"/>
      <c r="Q890"/>
      <c r="R890"/>
      <c r="S890"/>
      <c r="T890"/>
      <c r="U890"/>
      <c r="V890"/>
      <c r="W890"/>
    </row>
    <row r="891" spans="1:23" ht="15.4">
      <c r="A891" s="5">
        <v>575</v>
      </c>
      <c r="B891" s="5">
        <v>18575</v>
      </c>
      <c r="C891" s="5" t="s">
        <v>189</v>
      </c>
      <c r="D891" s="5" t="s">
        <v>911</v>
      </c>
      <c r="E891" s="5" t="s">
        <v>9</v>
      </c>
      <c r="F891" s="5" t="s">
        <v>1365</v>
      </c>
      <c r="G891" s="8">
        <v>45646</v>
      </c>
      <c r="H891" s="8" t="str">
        <f t="shared" si="13"/>
        <v>Dec</v>
      </c>
      <c r="I891" s="5">
        <v>2200</v>
      </c>
      <c r="J891" s="5">
        <v>1600</v>
      </c>
      <c r="K891" s="5">
        <f>student_data[[#This Row],[Total Fee]]-student_data[[#This Row],[Deposit Fee]]</f>
        <v>600</v>
      </c>
      <c r="L891" s="5" t="str">
        <f>IF(student_data[[#This Row],[Outstanding Fee]]=0,"Paid",IF(student_data[[#This Row],[Deposit Fee]]=0,"Unpaid","Partially Paid"))</f>
        <v>Partially Paid</v>
      </c>
      <c r="M891" s="5" t="s">
        <v>19</v>
      </c>
      <c r="N891"/>
      <c r="O891"/>
      <c r="P891"/>
      <c r="Q891"/>
      <c r="R891"/>
      <c r="S891"/>
      <c r="T891"/>
      <c r="U891"/>
      <c r="V891"/>
      <c r="W891"/>
    </row>
    <row r="892" spans="1:23" ht="15.4">
      <c r="A892" s="5">
        <v>576</v>
      </c>
      <c r="B892" s="5">
        <v>18576</v>
      </c>
      <c r="C892" s="5" t="s">
        <v>912</v>
      </c>
      <c r="D892" s="5" t="s">
        <v>913</v>
      </c>
      <c r="E892" s="5" t="s">
        <v>9</v>
      </c>
      <c r="F892" s="5" t="s">
        <v>1365</v>
      </c>
      <c r="G892" s="8">
        <v>45646</v>
      </c>
      <c r="H892" s="8" t="str">
        <f t="shared" si="13"/>
        <v>Dec</v>
      </c>
      <c r="I892" s="5">
        <v>2200</v>
      </c>
      <c r="J892" s="5">
        <v>1600</v>
      </c>
      <c r="K892" s="5">
        <f>student_data[[#This Row],[Total Fee]]-student_data[[#This Row],[Deposit Fee]]</f>
        <v>600</v>
      </c>
      <c r="L892" s="5" t="str">
        <f>IF(student_data[[#This Row],[Outstanding Fee]]=0,"Paid",IF(student_data[[#This Row],[Deposit Fee]]=0,"Unpaid","Partially Paid"))</f>
        <v>Partially Paid</v>
      </c>
      <c r="M892" s="5" t="s">
        <v>47</v>
      </c>
      <c r="N892"/>
      <c r="O892"/>
      <c r="P892"/>
      <c r="Q892"/>
      <c r="R892"/>
      <c r="S892"/>
      <c r="T892"/>
      <c r="U892"/>
      <c r="V892"/>
      <c r="W892"/>
    </row>
    <row r="893" spans="1:23" ht="15.4">
      <c r="A893" s="5">
        <v>577</v>
      </c>
      <c r="B893" s="5">
        <v>18577</v>
      </c>
      <c r="C893" s="5" t="s">
        <v>914</v>
      </c>
      <c r="D893" s="5" t="s">
        <v>915</v>
      </c>
      <c r="E893" s="5" t="s">
        <v>9</v>
      </c>
      <c r="F893" s="5" t="s">
        <v>1365</v>
      </c>
      <c r="G893" s="8">
        <v>45646</v>
      </c>
      <c r="H893" s="8" t="str">
        <f t="shared" si="13"/>
        <v>Dec</v>
      </c>
      <c r="I893" s="5">
        <v>2200</v>
      </c>
      <c r="J893" s="5">
        <v>2200</v>
      </c>
      <c r="K893" s="5">
        <f>student_data[[#This Row],[Total Fee]]-student_data[[#This Row],[Deposit Fee]]</f>
        <v>0</v>
      </c>
      <c r="L893" s="5" t="str">
        <f>IF(student_data[[#This Row],[Outstanding Fee]]=0,"Paid",IF(student_data[[#This Row],[Deposit Fee]]=0,"Unpaid","Partially Paid"))</f>
        <v>Paid</v>
      </c>
      <c r="M893" s="5" t="s">
        <v>19</v>
      </c>
      <c r="N893"/>
      <c r="O893"/>
      <c r="P893"/>
      <c r="Q893"/>
      <c r="R893"/>
      <c r="S893"/>
      <c r="T893"/>
      <c r="U893"/>
      <c r="V893"/>
      <c r="W893"/>
    </row>
    <row r="894" spans="1:23" ht="15.4">
      <c r="A894" s="5">
        <v>578</v>
      </c>
      <c r="B894" s="5">
        <v>18578</v>
      </c>
      <c r="C894" s="5" t="s">
        <v>916</v>
      </c>
      <c r="D894" s="5" t="s">
        <v>917</v>
      </c>
      <c r="E894" s="5" t="s">
        <v>25</v>
      </c>
      <c r="F894" s="5" t="s">
        <v>1365</v>
      </c>
      <c r="G894" s="8">
        <v>45647</v>
      </c>
      <c r="H894" s="8" t="str">
        <f t="shared" si="13"/>
        <v>Dec</v>
      </c>
      <c r="I894" s="5">
        <v>2200</v>
      </c>
      <c r="J894" s="5">
        <v>1200</v>
      </c>
      <c r="K894" s="5">
        <f>student_data[[#This Row],[Total Fee]]-student_data[[#This Row],[Deposit Fee]]</f>
        <v>1000</v>
      </c>
      <c r="L894" s="5" t="str">
        <f>IF(student_data[[#This Row],[Outstanding Fee]]=0,"Paid",IF(student_data[[#This Row],[Deposit Fee]]=0,"Unpaid","Partially Paid"))</f>
        <v>Partially Paid</v>
      </c>
      <c r="M894" s="5" t="s">
        <v>47</v>
      </c>
      <c r="N894"/>
      <c r="O894"/>
      <c r="P894"/>
      <c r="Q894"/>
      <c r="R894"/>
      <c r="S894"/>
      <c r="T894"/>
      <c r="U894"/>
      <c r="V894"/>
      <c r="W894"/>
    </row>
    <row r="895" spans="1:23" ht="15.4">
      <c r="A895" s="5">
        <v>579</v>
      </c>
      <c r="B895" s="5">
        <v>18579</v>
      </c>
      <c r="C895" s="5" t="s">
        <v>918</v>
      </c>
      <c r="D895" s="5" t="s">
        <v>919</v>
      </c>
      <c r="E895" s="5" t="s">
        <v>9</v>
      </c>
      <c r="F895" s="5" t="s">
        <v>1365</v>
      </c>
      <c r="G895" s="8">
        <v>45647</v>
      </c>
      <c r="H895" s="8" t="str">
        <f t="shared" si="13"/>
        <v>Dec</v>
      </c>
      <c r="I895" s="5">
        <v>2200</v>
      </c>
      <c r="J895" s="5">
        <v>2200</v>
      </c>
      <c r="K895" s="5">
        <f>student_data[[#This Row],[Total Fee]]-student_data[[#This Row],[Deposit Fee]]</f>
        <v>0</v>
      </c>
      <c r="L895" s="5" t="str">
        <f>IF(student_data[[#This Row],[Outstanding Fee]]=0,"Paid",IF(student_data[[#This Row],[Deposit Fee]]=0,"Unpaid","Partially Paid"))</f>
        <v>Paid</v>
      </c>
      <c r="M895" s="5" t="s">
        <v>75</v>
      </c>
      <c r="N895"/>
      <c r="O895"/>
      <c r="P895"/>
      <c r="Q895"/>
      <c r="R895"/>
      <c r="S895"/>
      <c r="T895"/>
      <c r="U895"/>
      <c r="V895"/>
      <c r="W895"/>
    </row>
    <row r="896" spans="1:23" ht="15.4">
      <c r="A896" s="5">
        <v>580</v>
      </c>
      <c r="B896" s="5">
        <v>18580</v>
      </c>
      <c r="C896" s="5" t="s">
        <v>277</v>
      </c>
      <c r="D896" s="5" t="s">
        <v>892</v>
      </c>
      <c r="E896" s="5" t="s">
        <v>25</v>
      </c>
      <c r="F896" s="5" t="s">
        <v>1365</v>
      </c>
      <c r="G896" s="8">
        <v>45647</v>
      </c>
      <c r="H896" s="8" t="str">
        <f t="shared" si="13"/>
        <v>Dec</v>
      </c>
      <c r="I896" s="5">
        <v>2200</v>
      </c>
      <c r="J896" s="5">
        <v>2200</v>
      </c>
      <c r="K896" s="5">
        <f>student_data[[#This Row],[Total Fee]]-student_data[[#This Row],[Deposit Fee]]</f>
        <v>0</v>
      </c>
      <c r="L896" s="5" t="str">
        <f>IF(student_data[[#This Row],[Outstanding Fee]]=0,"Paid",IF(student_data[[#This Row],[Deposit Fee]]=0,"Unpaid","Partially Paid"))</f>
        <v>Paid</v>
      </c>
      <c r="M896" s="5" t="s">
        <v>89</v>
      </c>
      <c r="N896"/>
      <c r="O896"/>
      <c r="P896"/>
      <c r="Q896"/>
      <c r="R896"/>
      <c r="S896"/>
      <c r="T896"/>
      <c r="U896"/>
      <c r="V896"/>
      <c r="W896"/>
    </row>
    <row r="897" spans="1:23" ht="15.4">
      <c r="A897" s="5">
        <v>581</v>
      </c>
      <c r="B897" s="5">
        <v>18581</v>
      </c>
      <c r="C897" s="5" t="s">
        <v>920</v>
      </c>
      <c r="D897" s="5" t="s">
        <v>921</v>
      </c>
      <c r="E897" s="5" t="s">
        <v>25</v>
      </c>
      <c r="F897" s="5" t="s">
        <v>1365</v>
      </c>
      <c r="G897" s="8">
        <v>45649</v>
      </c>
      <c r="H897" s="8" t="str">
        <f t="shared" si="13"/>
        <v>Dec</v>
      </c>
      <c r="I897" s="5">
        <v>2200</v>
      </c>
      <c r="J897" s="5">
        <v>1600</v>
      </c>
      <c r="K897" s="5">
        <f>student_data[[#This Row],[Total Fee]]-student_data[[#This Row],[Deposit Fee]]</f>
        <v>600</v>
      </c>
      <c r="L897" s="5" t="str">
        <f>IF(student_data[[#This Row],[Outstanding Fee]]=0,"Paid",IF(student_data[[#This Row],[Deposit Fee]]=0,"Unpaid","Partially Paid"))</f>
        <v>Partially Paid</v>
      </c>
      <c r="M897" s="5" t="s">
        <v>29</v>
      </c>
      <c r="N897"/>
      <c r="O897"/>
      <c r="P897"/>
      <c r="Q897"/>
      <c r="R897"/>
      <c r="S897"/>
      <c r="T897"/>
      <c r="U897"/>
      <c r="V897"/>
      <c r="W897"/>
    </row>
    <row r="898" spans="1:23" ht="15.4">
      <c r="A898" s="5">
        <v>582</v>
      </c>
      <c r="B898" s="5">
        <v>18582</v>
      </c>
      <c r="C898" s="5" t="s">
        <v>922</v>
      </c>
      <c r="D898" s="5" t="s">
        <v>923</v>
      </c>
      <c r="E898" s="5" t="s">
        <v>9</v>
      </c>
      <c r="F898" s="5" t="s">
        <v>1365</v>
      </c>
      <c r="G898" s="8">
        <v>45649</v>
      </c>
      <c r="H898" s="8" t="str">
        <f t="shared" ref="H898:H926" si="14">TEXT(G898,"mmm")</f>
        <v>Dec</v>
      </c>
      <c r="I898" s="5">
        <v>2200</v>
      </c>
      <c r="J898" s="5">
        <v>2200</v>
      </c>
      <c r="K898" s="5">
        <f>student_data[[#This Row],[Total Fee]]-student_data[[#This Row],[Deposit Fee]]</f>
        <v>0</v>
      </c>
      <c r="L898" s="5" t="str">
        <f>IF(student_data[[#This Row],[Outstanding Fee]]=0,"Paid",IF(student_data[[#This Row],[Deposit Fee]]=0,"Unpaid","Partially Paid"))</f>
        <v>Paid</v>
      </c>
      <c r="M898" s="5" t="s">
        <v>10</v>
      </c>
      <c r="N898"/>
      <c r="O898"/>
      <c r="P898"/>
      <c r="Q898"/>
      <c r="R898"/>
      <c r="S898"/>
      <c r="T898"/>
      <c r="U898"/>
      <c r="V898"/>
      <c r="W898"/>
    </row>
    <row r="899" spans="1:23" ht="15.4">
      <c r="A899" s="5">
        <v>583</v>
      </c>
      <c r="B899" s="5">
        <v>18583</v>
      </c>
      <c r="C899" s="5" t="s">
        <v>924</v>
      </c>
      <c r="D899" s="5" t="s">
        <v>925</v>
      </c>
      <c r="E899" s="5" t="s">
        <v>9</v>
      </c>
      <c r="F899" s="5" t="s">
        <v>1365</v>
      </c>
      <c r="G899" s="8">
        <v>45649</v>
      </c>
      <c r="H899" s="8" t="str">
        <f t="shared" si="14"/>
        <v>Dec</v>
      </c>
      <c r="I899" s="5">
        <v>2200</v>
      </c>
      <c r="J899" s="5">
        <v>2200</v>
      </c>
      <c r="K899" s="5">
        <f>student_data[[#This Row],[Total Fee]]-student_data[[#This Row],[Deposit Fee]]</f>
        <v>0</v>
      </c>
      <c r="L899" s="5" t="str">
        <f>IF(student_data[[#This Row],[Outstanding Fee]]=0,"Paid",IF(student_data[[#This Row],[Deposit Fee]]=0,"Unpaid","Partially Paid"))</f>
        <v>Paid</v>
      </c>
      <c r="M899" s="5" t="s">
        <v>13</v>
      </c>
      <c r="N899"/>
      <c r="O899"/>
      <c r="P899"/>
      <c r="Q899"/>
      <c r="R899"/>
      <c r="S899"/>
      <c r="T899"/>
      <c r="U899"/>
      <c r="V899"/>
      <c r="W899"/>
    </row>
    <row r="900" spans="1:23" ht="15.4">
      <c r="A900" s="5">
        <v>584</v>
      </c>
      <c r="B900" s="5">
        <v>18584</v>
      </c>
      <c r="C900" s="5" t="s">
        <v>926</v>
      </c>
      <c r="D900" s="5" t="s">
        <v>927</v>
      </c>
      <c r="E900" s="5" t="s">
        <v>9</v>
      </c>
      <c r="F900" s="5" t="s">
        <v>1365</v>
      </c>
      <c r="G900" s="8">
        <v>45650</v>
      </c>
      <c r="H900" s="8" t="str">
        <f t="shared" si="14"/>
        <v>Dec</v>
      </c>
      <c r="I900" s="5">
        <v>2200</v>
      </c>
      <c r="J900" s="5">
        <v>2200</v>
      </c>
      <c r="K900" s="5">
        <f>student_data[[#This Row],[Total Fee]]-student_data[[#This Row],[Deposit Fee]]</f>
        <v>0</v>
      </c>
      <c r="L900" s="5" t="str">
        <f>IF(student_data[[#This Row],[Outstanding Fee]]=0,"Paid",IF(student_data[[#This Row],[Deposit Fee]]=0,"Unpaid","Partially Paid"))</f>
        <v>Paid</v>
      </c>
      <c r="M900" s="5" t="s">
        <v>38</v>
      </c>
      <c r="N900"/>
      <c r="O900"/>
      <c r="P900"/>
      <c r="Q900"/>
      <c r="R900"/>
      <c r="S900"/>
      <c r="T900"/>
      <c r="U900"/>
      <c r="V900"/>
      <c r="W900"/>
    </row>
    <row r="901" spans="1:23" ht="15.4">
      <c r="A901" s="5">
        <v>585</v>
      </c>
      <c r="B901" s="5">
        <v>18585</v>
      </c>
      <c r="C901" s="5" t="s">
        <v>501</v>
      </c>
      <c r="D901" s="5" t="s">
        <v>139</v>
      </c>
      <c r="E901" s="5" t="s">
        <v>9</v>
      </c>
      <c r="F901" s="5" t="s">
        <v>1365</v>
      </c>
      <c r="G901" s="8">
        <v>45650</v>
      </c>
      <c r="H901" s="8" t="str">
        <f t="shared" si="14"/>
        <v>Dec</v>
      </c>
      <c r="I901" s="5">
        <v>2200</v>
      </c>
      <c r="J901" s="5">
        <v>1800</v>
      </c>
      <c r="K901" s="5">
        <f>student_data[[#This Row],[Total Fee]]-student_data[[#This Row],[Deposit Fee]]</f>
        <v>400</v>
      </c>
      <c r="L901" s="5" t="str">
        <f>IF(student_data[[#This Row],[Outstanding Fee]]=0,"Paid",IF(student_data[[#This Row],[Deposit Fee]]=0,"Unpaid","Partially Paid"))</f>
        <v>Partially Paid</v>
      </c>
      <c r="M901" s="5" t="s">
        <v>78</v>
      </c>
      <c r="N901"/>
      <c r="O901"/>
      <c r="P901"/>
      <c r="Q901"/>
      <c r="R901"/>
      <c r="S901"/>
      <c r="T901"/>
      <c r="U901"/>
      <c r="V901"/>
      <c r="W901"/>
    </row>
    <row r="902" spans="1:23" ht="15.4">
      <c r="A902" s="5">
        <v>586</v>
      </c>
      <c r="B902" s="5">
        <v>18586</v>
      </c>
      <c r="C902" s="5" t="s">
        <v>928</v>
      </c>
      <c r="D902" s="5" t="s">
        <v>929</v>
      </c>
      <c r="E902" s="5" t="s">
        <v>9</v>
      </c>
      <c r="F902" s="5" t="s">
        <v>1365</v>
      </c>
      <c r="G902" s="8">
        <v>45650</v>
      </c>
      <c r="H902" s="8" t="str">
        <f t="shared" si="14"/>
        <v>Dec</v>
      </c>
      <c r="I902" s="5">
        <v>2200</v>
      </c>
      <c r="J902" s="5">
        <v>1800</v>
      </c>
      <c r="K902" s="5">
        <f>student_data[[#This Row],[Total Fee]]-student_data[[#This Row],[Deposit Fee]]</f>
        <v>400</v>
      </c>
      <c r="L902" s="5" t="str">
        <f>IF(student_data[[#This Row],[Outstanding Fee]]=0,"Paid",IF(student_data[[#This Row],[Deposit Fee]]=0,"Unpaid","Partially Paid"))</f>
        <v>Partially Paid</v>
      </c>
      <c r="M902" s="5" t="s">
        <v>16</v>
      </c>
      <c r="N902"/>
      <c r="O902"/>
      <c r="P902"/>
      <c r="Q902"/>
      <c r="R902"/>
      <c r="S902"/>
      <c r="T902"/>
      <c r="U902"/>
      <c r="V902"/>
      <c r="W902"/>
    </row>
    <row r="903" spans="1:23" ht="15.4">
      <c r="A903" s="5">
        <v>587</v>
      </c>
      <c r="B903" s="5">
        <v>18587</v>
      </c>
      <c r="C903" s="5" t="s">
        <v>930</v>
      </c>
      <c r="D903" s="5" t="s">
        <v>858</v>
      </c>
      <c r="E903" s="5" t="s">
        <v>25</v>
      </c>
      <c r="F903" s="5" t="s">
        <v>1365</v>
      </c>
      <c r="G903" s="8">
        <v>45651</v>
      </c>
      <c r="H903" s="8" t="str">
        <f t="shared" si="14"/>
        <v>Dec</v>
      </c>
      <c r="I903" s="5">
        <v>2200</v>
      </c>
      <c r="J903" s="5">
        <v>1600</v>
      </c>
      <c r="K903" s="5">
        <f>student_data[[#This Row],[Total Fee]]-student_data[[#This Row],[Deposit Fee]]</f>
        <v>600</v>
      </c>
      <c r="L903" s="5" t="str">
        <f>IF(student_data[[#This Row],[Outstanding Fee]]=0,"Paid",IF(student_data[[#This Row],[Deposit Fee]]=0,"Unpaid","Partially Paid"))</f>
        <v>Partially Paid</v>
      </c>
      <c r="M903" s="5" t="s">
        <v>19</v>
      </c>
      <c r="N903"/>
      <c r="O903"/>
      <c r="P903"/>
      <c r="Q903"/>
      <c r="R903"/>
      <c r="S903"/>
      <c r="T903"/>
      <c r="U903"/>
      <c r="V903"/>
      <c r="W903"/>
    </row>
    <row r="904" spans="1:23" ht="15.4">
      <c r="A904" s="5">
        <v>588</v>
      </c>
      <c r="B904" s="5">
        <v>18588</v>
      </c>
      <c r="C904" s="5" t="s">
        <v>931</v>
      </c>
      <c r="D904" s="5" t="s">
        <v>932</v>
      </c>
      <c r="E904" s="5" t="s">
        <v>25</v>
      </c>
      <c r="F904" s="5" t="s">
        <v>1365</v>
      </c>
      <c r="G904" s="8">
        <v>45651</v>
      </c>
      <c r="H904" s="8" t="str">
        <f t="shared" si="14"/>
        <v>Dec</v>
      </c>
      <c r="I904" s="5">
        <v>2200</v>
      </c>
      <c r="J904" s="5">
        <v>1600</v>
      </c>
      <c r="K904" s="5">
        <f>student_data[[#This Row],[Total Fee]]-student_data[[#This Row],[Deposit Fee]]</f>
        <v>600</v>
      </c>
      <c r="L904" s="5" t="str">
        <f>IF(student_data[[#This Row],[Outstanding Fee]]=0,"Paid",IF(student_data[[#This Row],[Deposit Fee]]=0,"Unpaid","Partially Paid"))</f>
        <v>Partially Paid</v>
      </c>
      <c r="M904" s="5" t="s">
        <v>47</v>
      </c>
      <c r="N904"/>
      <c r="O904"/>
      <c r="P904"/>
      <c r="Q904"/>
      <c r="R904"/>
      <c r="S904"/>
      <c r="T904"/>
      <c r="U904"/>
      <c r="V904"/>
      <c r="W904"/>
    </row>
    <row r="905" spans="1:23" ht="15.4">
      <c r="A905" s="5">
        <v>589</v>
      </c>
      <c r="B905" s="5">
        <v>18589</v>
      </c>
      <c r="C905" s="5" t="s">
        <v>933</v>
      </c>
      <c r="D905" s="5" t="s">
        <v>934</v>
      </c>
      <c r="E905" s="5" t="s">
        <v>25</v>
      </c>
      <c r="F905" s="5" t="s">
        <v>1365</v>
      </c>
      <c r="G905" s="8">
        <v>45651</v>
      </c>
      <c r="H905" s="8" t="str">
        <f t="shared" si="14"/>
        <v>Dec</v>
      </c>
      <c r="I905" s="5">
        <v>2200</v>
      </c>
      <c r="J905" s="5">
        <v>2200</v>
      </c>
      <c r="K905" s="5">
        <f>student_data[[#This Row],[Total Fee]]-student_data[[#This Row],[Deposit Fee]]</f>
        <v>0</v>
      </c>
      <c r="L905" s="5" t="str">
        <f>IF(student_data[[#This Row],[Outstanding Fee]]=0,"Paid",IF(student_data[[#This Row],[Deposit Fee]]=0,"Unpaid","Partially Paid"))</f>
        <v>Paid</v>
      </c>
      <c r="M905" s="5" t="s">
        <v>75</v>
      </c>
      <c r="N905"/>
      <c r="O905"/>
      <c r="P905"/>
      <c r="Q905"/>
      <c r="R905"/>
      <c r="S905"/>
      <c r="T905"/>
      <c r="U905"/>
      <c r="V905"/>
      <c r="W905"/>
    </row>
    <row r="906" spans="1:23" ht="15.4">
      <c r="A906" s="5">
        <v>590</v>
      </c>
      <c r="B906" s="5">
        <v>18590</v>
      </c>
      <c r="C906" s="5" t="s">
        <v>935</v>
      </c>
      <c r="D906" s="5" t="s">
        <v>936</v>
      </c>
      <c r="E906" s="5" t="s">
        <v>9</v>
      </c>
      <c r="F906" s="5" t="s">
        <v>1365</v>
      </c>
      <c r="G906" s="8">
        <v>45652</v>
      </c>
      <c r="H906" s="8" t="str">
        <f t="shared" si="14"/>
        <v>Dec</v>
      </c>
      <c r="I906" s="5">
        <v>2200</v>
      </c>
      <c r="J906" s="5">
        <v>2200</v>
      </c>
      <c r="K906" s="5">
        <f>student_data[[#This Row],[Total Fee]]-student_data[[#This Row],[Deposit Fee]]</f>
        <v>0</v>
      </c>
      <c r="L906" s="5" t="str">
        <f>IF(student_data[[#This Row],[Outstanding Fee]]=0,"Paid",IF(student_data[[#This Row],[Deposit Fee]]=0,"Unpaid","Partially Paid"))</f>
        <v>Paid</v>
      </c>
      <c r="M906" s="5" t="s">
        <v>89</v>
      </c>
      <c r="N906"/>
      <c r="O906"/>
      <c r="P906"/>
      <c r="Q906"/>
      <c r="R906"/>
      <c r="S906"/>
      <c r="T906"/>
      <c r="U906"/>
      <c r="V906"/>
      <c r="W906"/>
    </row>
    <row r="907" spans="1:23" ht="15.4">
      <c r="A907" s="5">
        <v>591</v>
      </c>
      <c r="B907" s="5">
        <v>18591</v>
      </c>
      <c r="C907" s="5" t="s">
        <v>937</v>
      </c>
      <c r="D907" s="5" t="s">
        <v>60</v>
      </c>
      <c r="E907" s="5" t="s">
        <v>9</v>
      </c>
      <c r="F907" s="5" t="s">
        <v>1365</v>
      </c>
      <c r="G907" s="8">
        <v>45652</v>
      </c>
      <c r="H907" s="8" t="str">
        <f t="shared" si="14"/>
        <v>Dec</v>
      </c>
      <c r="I907" s="5">
        <v>2200</v>
      </c>
      <c r="J907" s="5">
        <v>1600</v>
      </c>
      <c r="K907" s="5">
        <f>student_data[[#This Row],[Total Fee]]-student_data[[#This Row],[Deposit Fee]]</f>
        <v>600</v>
      </c>
      <c r="L907" s="5" t="str">
        <f>IF(student_data[[#This Row],[Outstanding Fee]]=0,"Paid",IF(student_data[[#This Row],[Deposit Fee]]=0,"Unpaid","Partially Paid"))</f>
        <v>Partially Paid</v>
      </c>
      <c r="M907" s="5" t="s">
        <v>29</v>
      </c>
      <c r="N907"/>
      <c r="O907"/>
      <c r="P907"/>
      <c r="Q907"/>
      <c r="R907"/>
      <c r="S907"/>
      <c r="T907"/>
      <c r="U907"/>
      <c r="V907"/>
      <c r="W907"/>
    </row>
    <row r="908" spans="1:23" ht="15.4">
      <c r="A908" s="5">
        <v>592</v>
      </c>
      <c r="B908" s="5">
        <v>18592</v>
      </c>
      <c r="C908" s="5" t="s">
        <v>938</v>
      </c>
      <c r="D908" s="5" t="s">
        <v>939</v>
      </c>
      <c r="E908" s="5" t="s">
        <v>9</v>
      </c>
      <c r="F908" s="5" t="s">
        <v>1365</v>
      </c>
      <c r="G908" s="8">
        <v>45652</v>
      </c>
      <c r="H908" s="8" t="str">
        <f t="shared" si="14"/>
        <v>Dec</v>
      </c>
      <c r="I908" s="5">
        <v>2200</v>
      </c>
      <c r="J908" s="5">
        <v>2200</v>
      </c>
      <c r="K908" s="5">
        <f>student_data[[#This Row],[Total Fee]]-student_data[[#This Row],[Deposit Fee]]</f>
        <v>0</v>
      </c>
      <c r="L908" s="5" t="str">
        <f>IF(student_data[[#This Row],[Outstanding Fee]]=0,"Paid",IF(student_data[[#This Row],[Deposit Fee]]=0,"Unpaid","Partially Paid"))</f>
        <v>Paid</v>
      </c>
      <c r="M908" s="5" t="s">
        <v>10</v>
      </c>
      <c r="N908"/>
      <c r="O908"/>
      <c r="P908"/>
      <c r="Q908"/>
      <c r="R908"/>
      <c r="S908"/>
      <c r="T908"/>
      <c r="U908"/>
      <c r="V908"/>
      <c r="W908"/>
    </row>
    <row r="909" spans="1:23" ht="15.4">
      <c r="A909" s="5">
        <v>593</v>
      </c>
      <c r="B909" s="5">
        <v>18593</v>
      </c>
      <c r="C909" s="5" t="s">
        <v>940</v>
      </c>
      <c r="D909" s="5" t="s">
        <v>648</v>
      </c>
      <c r="E909" s="5" t="s">
        <v>9</v>
      </c>
      <c r="F909" s="5" t="s">
        <v>1365</v>
      </c>
      <c r="G909" s="8">
        <v>45653</v>
      </c>
      <c r="H909" s="8" t="str">
        <f t="shared" si="14"/>
        <v>Dec</v>
      </c>
      <c r="I909" s="5">
        <v>2200</v>
      </c>
      <c r="J909" s="5">
        <v>2200</v>
      </c>
      <c r="K909" s="5">
        <f>student_data[[#This Row],[Total Fee]]-student_data[[#This Row],[Deposit Fee]]</f>
        <v>0</v>
      </c>
      <c r="L909" s="5" t="str">
        <f>IF(student_data[[#This Row],[Outstanding Fee]]=0,"Paid",IF(student_data[[#This Row],[Deposit Fee]]=0,"Unpaid","Partially Paid"))</f>
        <v>Paid</v>
      </c>
      <c r="M909" s="5" t="s">
        <v>13</v>
      </c>
      <c r="N909"/>
      <c r="O909"/>
      <c r="P909"/>
      <c r="Q909"/>
      <c r="R909"/>
      <c r="S909"/>
      <c r="T909"/>
      <c r="U909"/>
      <c r="V909"/>
      <c r="W909"/>
    </row>
    <row r="910" spans="1:23" ht="15.4">
      <c r="A910" s="5">
        <v>594</v>
      </c>
      <c r="B910" s="5">
        <v>18594</v>
      </c>
      <c r="C910" s="5" t="s">
        <v>620</v>
      </c>
      <c r="D910" s="5" t="s">
        <v>941</v>
      </c>
      <c r="E910" s="5" t="s">
        <v>25</v>
      </c>
      <c r="F910" s="5" t="s">
        <v>1365</v>
      </c>
      <c r="G910" s="8">
        <v>45653</v>
      </c>
      <c r="H910" s="8" t="str">
        <f t="shared" si="14"/>
        <v>Dec</v>
      </c>
      <c r="I910" s="5">
        <v>2200</v>
      </c>
      <c r="J910" s="5">
        <v>2200</v>
      </c>
      <c r="K910" s="5">
        <f>student_data[[#This Row],[Total Fee]]-student_data[[#This Row],[Deposit Fee]]</f>
        <v>0</v>
      </c>
      <c r="L910" s="5" t="str">
        <f>IF(student_data[[#This Row],[Outstanding Fee]]=0,"Paid",IF(student_data[[#This Row],[Deposit Fee]]=0,"Unpaid","Partially Paid"))</f>
        <v>Paid</v>
      </c>
      <c r="M910" s="5" t="s">
        <v>38</v>
      </c>
      <c r="N910"/>
      <c r="O910"/>
      <c r="P910"/>
      <c r="Q910"/>
      <c r="R910"/>
      <c r="S910"/>
      <c r="T910"/>
      <c r="U910"/>
      <c r="V910"/>
      <c r="W910"/>
    </row>
    <row r="911" spans="1:23" ht="15.4">
      <c r="A911" s="5">
        <v>595</v>
      </c>
      <c r="B911" s="5">
        <v>18595</v>
      </c>
      <c r="C911" s="5" t="s">
        <v>942</v>
      </c>
      <c r="D911" s="5" t="s">
        <v>943</v>
      </c>
      <c r="E911" s="5" t="s">
        <v>9</v>
      </c>
      <c r="F911" s="5" t="s">
        <v>1365</v>
      </c>
      <c r="G911" s="8">
        <v>45653</v>
      </c>
      <c r="H911" s="8" t="str">
        <f t="shared" si="14"/>
        <v>Dec</v>
      </c>
      <c r="I911" s="5">
        <v>2200</v>
      </c>
      <c r="J911" s="5">
        <v>1600</v>
      </c>
      <c r="K911" s="5">
        <f>student_data[[#This Row],[Total Fee]]-student_data[[#This Row],[Deposit Fee]]</f>
        <v>600</v>
      </c>
      <c r="L911" s="5" t="str">
        <f>IF(student_data[[#This Row],[Outstanding Fee]]=0,"Paid",IF(student_data[[#This Row],[Deposit Fee]]=0,"Unpaid","Partially Paid"))</f>
        <v>Partially Paid</v>
      </c>
      <c r="M911" s="5" t="s">
        <v>78</v>
      </c>
      <c r="N911"/>
      <c r="O911"/>
      <c r="P911"/>
      <c r="Q911"/>
      <c r="R911"/>
      <c r="S911"/>
      <c r="T911"/>
      <c r="U911"/>
      <c r="V911"/>
      <c r="W911"/>
    </row>
    <row r="912" spans="1:23" ht="15.4">
      <c r="A912" s="5">
        <v>596</v>
      </c>
      <c r="B912" s="5">
        <v>18596</v>
      </c>
      <c r="C912" s="5" t="s">
        <v>64</v>
      </c>
      <c r="D912" s="5" t="s">
        <v>944</v>
      </c>
      <c r="E912" s="5" t="s">
        <v>25</v>
      </c>
      <c r="F912" s="5" t="s">
        <v>1365</v>
      </c>
      <c r="G912" s="8">
        <v>45654</v>
      </c>
      <c r="H912" s="8" t="str">
        <f t="shared" si="14"/>
        <v>Dec</v>
      </c>
      <c r="I912" s="5">
        <v>2200</v>
      </c>
      <c r="J912" s="5">
        <v>1800</v>
      </c>
      <c r="K912" s="5">
        <f>student_data[[#This Row],[Total Fee]]-student_data[[#This Row],[Deposit Fee]]</f>
        <v>400</v>
      </c>
      <c r="L912" s="5" t="str">
        <f>IF(student_data[[#This Row],[Outstanding Fee]]=0,"Paid",IF(student_data[[#This Row],[Deposit Fee]]=0,"Unpaid","Partially Paid"))</f>
        <v>Partially Paid</v>
      </c>
      <c r="M912" s="5" t="s">
        <v>16</v>
      </c>
      <c r="N912"/>
      <c r="O912"/>
      <c r="P912"/>
      <c r="Q912"/>
      <c r="R912"/>
      <c r="S912"/>
      <c r="T912"/>
      <c r="U912"/>
      <c r="V912"/>
      <c r="W912"/>
    </row>
    <row r="913" spans="1:23" ht="15.4">
      <c r="A913" s="5">
        <v>597</v>
      </c>
      <c r="B913" s="5">
        <v>18597</v>
      </c>
      <c r="C913" s="5" t="s">
        <v>945</v>
      </c>
      <c r="D913" s="5" t="s">
        <v>946</v>
      </c>
      <c r="E913" s="5" t="s">
        <v>9</v>
      </c>
      <c r="F913" s="5" t="s">
        <v>1365</v>
      </c>
      <c r="G913" s="8">
        <v>45654</v>
      </c>
      <c r="H913" s="8" t="str">
        <f t="shared" si="14"/>
        <v>Dec</v>
      </c>
      <c r="I913" s="5">
        <v>2200</v>
      </c>
      <c r="J913" s="5">
        <v>1800</v>
      </c>
      <c r="K913" s="5">
        <f>student_data[[#This Row],[Total Fee]]-student_data[[#This Row],[Deposit Fee]]</f>
        <v>400</v>
      </c>
      <c r="L913" s="5" t="str">
        <f>IF(student_data[[#This Row],[Outstanding Fee]]=0,"Paid",IF(student_data[[#This Row],[Deposit Fee]]=0,"Unpaid","Partially Paid"))</f>
        <v>Partially Paid</v>
      </c>
      <c r="M913" s="5" t="s">
        <v>19</v>
      </c>
      <c r="N913"/>
      <c r="O913"/>
      <c r="P913"/>
      <c r="Q913"/>
      <c r="R913"/>
      <c r="S913"/>
      <c r="T913"/>
      <c r="U913"/>
      <c r="V913"/>
      <c r="W913"/>
    </row>
    <row r="914" spans="1:23" ht="15.4">
      <c r="A914" s="5">
        <v>598</v>
      </c>
      <c r="B914" s="5">
        <v>18598</v>
      </c>
      <c r="C914" s="5" t="s">
        <v>130</v>
      </c>
      <c r="D914" s="5" t="s">
        <v>947</v>
      </c>
      <c r="E914" s="5" t="s">
        <v>25</v>
      </c>
      <c r="F914" s="5" t="s">
        <v>1365</v>
      </c>
      <c r="G914" s="8">
        <v>45654</v>
      </c>
      <c r="H914" s="8" t="str">
        <f t="shared" si="14"/>
        <v>Dec</v>
      </c>
      <c r="I914" s="5">
        <v>2200</v>
      </c>
      <c r="J914" s="5">
        <v>2200</v>
      </c>
      <c r="K914" s="5">
        <f>student_data[[#This Row],[Total Fee]]-student_data[[#This Row],[Deposit Fee]]</f>
        <v>0</v>
      </c>
      <c r="L914" s="5" t="str">
        <f>IF(student_data[[#This Row],[Outstanding Fee]]=0,"Paid",IF(student_data[[#This Row],[Deposit Fee]]=0,"Unpaid","Partially Paid"))</f>
        <v>Paid</v>
      </c>
      <c r="M914" s="5" t="s">
        <v>47</v>
      </c>
      <c r="N914"/>
      <c r="O914"/>
      <c r="P914"/>
      <c r="Q914"/>
      <c r="R914"/>
      <c r="S914"/>
      <c r="T914"/>
      <c r="U914"/>
      <c r="V914"/>
      <c r="W914"/>
    </row>
    <row r="915" spans="1:23" ht="15.4">
      <c r="A915" s="5">
        <v>599</v>
      </c>
      <c r="B915" s="5">
        <v>18599</v>
      </c>
      <c r="C915" s="5" t="s">
        <v>948</v>
      </c>
      <c r="D915" s="5" t="s">
        <v>37</v>
      </c>
      <c r="E915" s="5" t="s">
        <v>9</v>
      </c>
      <c r="F915" s="5" t="s">
        <v>1365</v>
      </c>
      <c r="G915" s="8">
        <v>45656</v>
      </c>
      <c r="H915" s="8" t="str">
        <f t="shared" si="14"/>
        <v>Dec</v>
      </c>
      <c r="I915" s="5">
        <v>2200</v>
      </c>
      <c r="J915" s="5">
        <v>1600</v>
      </c>
      <c r="K915" s="5">
        <f>student_data[[#This Row],[Total Fee]]-student_data[[#This Row],[Deposit Fee]]</f>
        <v>600</v>
      </c>
      <c r="L915" s="5" t="str">
        <f>IF(student_data[[#This Row],[Outstanding Fee]]=0,"Paid",IF(student_data[[#This Row],[Deposit Fee]]=0,"Unpaid","Partially Paid"))</f>
        <v>Partially Paid</v>
      </c>
      <c r="M915" s="5" t="s">
        <v>75</v>
      </c>
      <c r="N915"/>
      <c r="O915"/>
      <c r="P915"/>
      <c r="Q915"/>
      <c r="R915"/>
      <c r="S915"/>
      <c r="T915"/>
      <c r="U915"/>
      <c r="V915"/>
      <c r="W915"/>
    </row>
    <row r="916" spans="1:23" ht="15.4">
      <c r="A916" s="5">
        <v>600</v>
      </c>
      <c r="B916" s="5">
        <v>18600</v>
      </c>
      <c r="C916" s="5" t="s">
        <v>949</v>
      </c>
      <c r="D916" s="5" t="s">
        <v>950</v>
      </c>
      <c r="E916" s="5" t="s">
        <v>9</v>
      </c>
      <c r="F916" s="5" t="s">
        <v>1365</v>
      </c>
      <c r="G916" s="8">
        <v>45656</v>
      </c>
      <c r="H916" s="8" t="str">
        <f t="shared" si="14"/>
        <v>Dec</v>
      </c>
      <c r="I916" s="5">
        <v>2200</v>
      </c>
      <c r="J916" s="5">
        <v>1600</v>
      </c>
      <c r="K916" s="5">
        <f>student_data[[#This Row],[Total Fee]]-student_data[[#This Row],[Deposit Fee]]</f>
        <v>600</v>
      </c>
      <c r="L916" s="5" t="str">
        <f>IF(student_data[[#This Row],[Outstanding Fee]]=0,"Paid",IF(student_data[[#This Row],[Deposit Fee]]=0,"Unpaid","Partially Paid"))</f>
        <v>Partially Paid</v>
      </c>
      <c r="M916" s="5" t="s">
        <v>89</v>
      </c>
      <c r="N916"/>
      <c r="O916"/>
      <c r="P916"/>
      <c r="Q916"/>
      <c r="R916"/>
      <c r="S916"/>
      <c r="T916"/>
      <c r="U916"/>
      <c r="V916"/>
      <c r="W916"/>
    </row>
    <row r="917" spans="1:23" ht="15.4">
      <c r="A917" s="5">
        <v>601</v>
      </c>
      <c r="B917" s="5">
        <v>18601</v>
      </c>
      <c r="C917" s="5" t="s">
        <v>173</v>
      </c>
      <c r="D917" s="5" t="s">
        <v>119</v>
      </c>
      <c r="E917" s="5" t="s">
        <v>9</v>
      </c>
      <c r="F917" s="5" t="s">
        <v>1365</v>
      </c>
      <c r="G917" s="8">
        <v>45656</v>
      </c>
      <c r="H917" s="8" t="str">
        <f t="shared" si="14"/>
        <v>Dec</v>
      </c>
      <c r="I917" s="5">
        <v>2200</v>
      </c>
      <c r="J917" s="5">
        <v>2200</v>
      </c>
      <c r="K917" s="5">
        <f>student_data[[#This Row],[Total Fee]]-student_data[[#This Row],[Deposit Fee]]</f>
        <v>0</v>
      </c>
      <c r="L917" s="5" t="str">
        <f>IF(student_data[[#This Row],[Outstanding Fee]]=0,"Paid",IF(student_data[[#This Row],[Deposit Fee]]=0,"Unpaid","Partially Paid"))</f>
        <v>Paid</v>
      </c>
      <c r="M917" s="5" t="s">
        <v>29</v>
      </c>
      <c r="N917"/>
      <c r="O917"/>
      <c r="P917"/>
      <c r="Q917"/>
      <c r="R917"/>
      <c r="S917"/>
      <c r="T917"/>
      <c r="U917"/>
      <c r="V917"/>
      <c r="W917"/>
    </row>
    <row r="918" spans="1:23" ht="15.4">
      <c r="A918" s="5">
        <v>602</v>
      </c>
      <c r="B918" s="5">
        <v>18602</v>
      </c>
      <c r="C918" s="5" t="s">
        <v>51</v>
      </c>
      <c r="D918" s="5" t="s">
        <v>951</v>
      </c>
      <c r="E918" s="5" t="s">
        <v>25</v>
      </c>
      <c r="F918" s="6" t="s">
        <v>1361</v>
      </c>
      <c r="G918" s="8">
        <v>45657</v>
      </c>
      <c r="H918" s="8" t="str">
        <f t="shared" si="14"/>
        <v>Dec</v>
      </c>
      <c r="I918" s="5">
        <v>5500</v>
      </c>
      <c r="J918" s="5">
        <v>2500</v>
      </c>
      <c r="K918" s="5">
        <f>student_data[[#This Row],[Total Fee]]-student_data[[#This Row],[Deposit Fee]]</f>
        <v>3000</v>
      </c>
      <c r="L918" s="5" t="str">
        <f>IF(student_data[[#This Row],[Outstanding Fee]]=0,"Paid",IF(student_data[[#This Row],[Deposit Fee]]=0,"Unpaid","Partially Paid"))</f>
        <v>Partially Paid</v>
      </c>
      <c r="M918" s="5" t="s">
        <v>75</v>
      </c>
      <c r="N918"/>
      <c r="O918"/>
      <c r="P918"/>
      <c r="Q918"/>
      <c r="R918"/>
      <c r="S918"/>
      <c r="T918"/>
      <c r="U918"/>
      <c r="V918"/>
      <c r="W918"/>
    </row>
    <row r="919" spans="1:23" ht="15.4">
      <c r="A919" s="5">
        <v>603</v>
      </c>
      <c r="B919" s="5">
        <v>18603</v>
      </c>
      <c r="C919" s="5" t="s">
        <v>952</v>
      </c>
      <c r="D919" s="5" t="s">
        <v>953</v>
      </c>
      <c r="E919" s="5" t="s">
        <v>9</v>
      </c>
      <c r="F919" s="6" t="s">
        <v>1360</v>
      </c>
      <c r="G919" s="8">
        <v>45657</v>
      </c>
      <c r="H919" s="8" t="str">
        <f t="shared" si="14"/>
        <v>Dec</v>
      </c>
      <c r="I919" s="5">
        <v>4400</v>
      </c>
      <c r="J919" s="5">
        <v>3800</v>
      </c>
      <c r="K919" s="5">
        <f>student_data[[#This Row],[Total Fee]]-student_data[[#This Row],[Deposit Fee]]</f>
        <v>600</v>
      </c>
      <c r="L919" s="5" t="str">
        <f>IF(student_data[[#This Row],[Outstanding Fee]]=0,"Paid",IF(student_data[[#This Row],[Deposit Fee]]=0,"Unpaid","Partially Paid"))</f>
        <v>Partially Paid</v>
      </c>
      <c r="M919" s="5" t="s">
        <v>75</v>
      </c>
      <c r="N919"/>
      <c r="O919"/>
      <c r="P919"/>
      <c r="Q919"/>
      <c r="R919"/>
      <c r="S919"/>
      <c r="T919"/>
      <c r="U919"/>
      <c r="V919"/>
      <c r="W919"/>
    </row>
    <row r="920" spans="1:23" ht="15.4">
      <c r="A920" s="5">
        <v>604</v>
      </c>
      <c r="B920" s="5">
        <v>18604</v>
      </c>
      <c r="C920" s="5" t="s">
        <v>954</v>
      </c>
      <c r="D920" s="5" t="s">
        <v>955</v>
      </c>
      <c r="E920" s="5" t="s">
        <v>9</v>
      </c>
      <c r="F920" s="5" t="s">
        <v>1365</v>
      </c>
      <c r="G920" s="8">
        <v>45657</v>
      </c>
      <c r="H920" s="8" t="str">
        <f t="shared" si="14"/>
        <v>Dec</v>
      </c>
      <c r="I920" s="5">
        <v>2200</v>
      </c>
      <c r="J920" s="5">
        <v>2200</v>
      </c>
      <c r="K920" s="5">
        <f>student_data[[#This Row],[Total Fee]]-student_data[[#This Row],[Deposit Fee]]</f>
        <v>0</v>
      </c>
      <c r="L920" s="5" t="str">
        <f>IF(student_data[[#This Row],[Outstanding Fee]]=0,"Paid",IF(student_data[[#This Row],[Deposit Fee]]=0,"Unpaid","Partially Paid"))</f>
        <v>Paid</v>
      </c>
      <c r="M920" s="5" t="s">
        <v>19</v>
      </c>
      <c r="N920"/>
      <c r="O920"/>
      <c r="P920"/>
      <c r="Q920"/>
      <c r="R920"/>
      <c r="S920"/>
      <c r="T920"/>
      <c r="U920"/>
      <c r="V920"/>
      <c r="W920"/>
    </row>
    <row r="921" spans="1:23" ht="15.4">
      <c r="A921" s="5">
        <v>740</v>
      </c>
      <c r="B921" s="5">
        <v>18740</v>
      </c>
      <c r="C921" s="5" t="s">
        <v>1151</v>
      </c>
      <c r="D921" s="5" t="s">
        <v>1152</v>
      </c>
      <c r="E921" s="5" t="s">
        <v>9</v>
      </c>
      <c r="F921" s="6" t="s">
        <v>1361</v>
      </c>
      <c r="G921" s="8">
        <v>45657</v>
      </c>
      <c r="H921" s="8" t="str">
        <f t="shared" si="14"/>
        <v>Dec</v>
      </c>
      <c r="I921" s="5">
        <v>5500</v>
      </c>
      <c r="J921" s="5">
        <v>5500</v>
      </c>
      <c r="K921" s="5">
        <f>student_data[[#This Row],[Total Fee]]-student_data[[#This Row],[Deposit Fee]]</f>
        <v>0</v>
      </c>
      <c r="L921" s="5" t="str">
        <f>IF(student_data[[#This Row],[Outstanding Fee]]=0,"Paid",IF(student_data[[#This Row],[Deposit Fee]]=0,"Unpaid","Partially Paid"))</f>
        <v>Paid</v>
      </c>
      <c r="M921" s="5" t="s">
        <v>10</v>
      </c>
      <c r="N921"/>
      <c r="O921"/>
      <c r="P921"/>
      <c r="Q921"/>
      <c r="R921"/>
      <c r="S921"/>
      <c r="T921"/>
      <c r="U921"/>
      <c r="V921"/>
      <c r="W921"/>
    </row>
    <row r="922" spans="1:23" ht="15.4">
      <c r="A922" s="5">
        <v>741</v>
      </c>
      <c r="B922" s="5">
        <v>18741</v>
      </c>
      <c r="C922" s="5" t="s">
        <v>1153</v>
      </c>
      <c r="D922" s="5" t="s">
        <v>1154</v>
      </c>
      <c r="E922" s="5" t="s">
        <v>9</v>
      </c>
      <c r="F922" s="6" t="s">
        <v>1361</v>
      </c>
      <c r="G922" s="8">
        <v>45657</v>
      </c>
      <c r="H922" s="8" t="str">
        <f t="shared" si="14"/>
        <v>Dec</v>
      </c>
      <c r="I922" s="5">
        <v>5500</v>
      </c>
      <c r="J922" s="5">
        <v>5500</v>
      </c>
      <c r="K922" s="5">
        <f>student_data[[#This Row],[Total Fee]]-student_data[[#This Row],[Deposit Fee]]</f>
        <v>0</v>
      </c>
      <c r="L922" s="5" t="str">
        <f>IF(student_data[[#This Row],[Outstanding Fee]]=0,"Paid",IF(student_data[[#This Row],[Deposit Fee]]=0,"Unpaid","Partially Paid"))</f>
        <v>Paid</v>
      </c>
      <c r="M922" s="5" t="s">
        <v>47</v>
      </c>
      <c r="N922"/>
      <c r="O922"/>
      <c r="P922"/>
      <c r="Q922"/>
      <c r="R922"/>
      <c r="S922"/>
      <c r="T922"/>
      <c r="U922"/>
      <c r="V922"/>
      <c r="W922"/>
    </row>
    <row r="923" spans="1:23" ht="15.4">
      <c r="A923" s="5">
        <v>742</v>
      </c>
      <c r="B923" s="5">
        <v>18742</v>
      </c>
      <c r="C923" s="5" t="s">
        <v>1155</v>
      </c>
      <c r="D923" s="5" t="s">
        <v>532</v>
      </c>
      <c r="E923" s="5" t="s">
        <v>25</v>
      </c>
      <c r="F923" s="6" t="s">
        <v>1361</v>
      </c>
      <c r="G923" s="8">
        <v>45657</v>
      </c>
      <c r="H923" s="8" t="str">
        <f t="shared" si="14"/>
        <v>Dec</v>
      </c>
      <c r="I923" s="5">
        <v>5500</v>
      </c>
      <c r="J923" s="5">
        <v>4900</v>
      </c>
      <c r="K923" s="5">
        <f>student_data[[#This Row],[Total Fee]]-student_data[[#This Row],[Deposit Fee]]</f>
        <v>600</v>
      </c>
      <c r="L923" s="5" t="str">
        <f>IF(student_data[[#This Row],[Outstanding Fee]]=0,"Paid",IF(student_data[[#This Row],[Deposit Fee]]=0,"Unpaid","Partially Paid"))</f>
        <v>Partially Paid</v>
      </c>
      <c r="M923" s="5" t="s">
        <v>50</v>
      </c>
      <c r="N923"/>
      <c r="O923"/>
      <c r="P923"/>
      <c r="Q923"/>
      <c r="R923"/>
      <c r="S923"/>
      <c r="T923"/>
      <c r="U923"/>
      <c r="V923"/>
      <c r="W923"/>
    </row>
    <row r="924" spans="1:23" ht="15.4">
      <c r="A924" s="5">
        <v>743</v>
      </c>
      <c r="B924" s="5">
        <v>18743</v>
      </c>
      <c r="C924" s="5" t="s">
        <v>1156</v>
      </c>
      <c r="D924" s="5" t="s">
        <v>385</v>
      </c>
      <c r="E924" s="5" t="s">
        <v>9</v>
      </c>
      <c r="F924" s="6" t="s">
        <v>1361</v>
      </c>
      <c r="G924" s="8">
        <v>45657</v>
      </c>
      <c r="H924" s="8" t="str">
        <f t="shared" si="14"/>
        <v>Dec</v>
      </c>
      <c r="I924" s="5">
        <v>5500</v>
      </c>
      <c r="J924" s="5">
        <v>4900</v>
      </c>
      <c r="K924" s="5">
        <f>student_data[[#This Row],[Total Fee]]-student_data[[#This Row],[Deposit Fee]]</f>
        <v>600</v>
      </c>
      <c r="L924" s="5" t="str">
        <f>IF(student_data[[#This Row],[Outstanding Fee]]=0,"Paid",IF(student_data[[#This Row],[Deposit Fee]]=0,"Unpaid","Partially Paid"))</f>
        <v>Partially Paid</v>
      </c>
      <c r="M924" s="5" t="s">
        <v>53</v>
      </c>
      <c r="N924"/>
      <c r="O924"/>
      <c r="P924"/>
      <c r="Q924"/>
      <c r="R924"/>
      <c r="S924"/>
      <c r="T924"/>
      <c r="U924"/>
      <c r="V924"/>
      <c r="W924"/>
    </row>
    <row r="925" spans="1:23" ht="15.4">
      <c r="A925" s="5">
        <v>744</v>
      </c>
      <c r="B925" s="5">
        <v>18744</v>
      </c>
      <c r="C925" s="5" t="s">
        <v>1157</v>
      </c>
      <c r="D925" s="5" t="s">
        <v>285</v>
      </c>
      <c r="E925" s="5" t="s">
        <v>9</v>
      </c>
      <c r="F925" s="6" t="s">
        <v>1361</v>
      </c>
      <c r="G925" s="8">
        <v>45657</v>
      </c>
      <c r="H925" s="8" t="str">
        <f t="shared" si="14"/>
        <v>Dec</v>
      </c>
      <c r="I925" s="5">
        <v>5500</v>
      </c>
      <c r="J925" s="5">
        <v>5500</v>
      </c>
      <c r="K925" s="5">
        <f>student_data[[#This Row],[Total Fee]]-student_data[[#This Row],[Deposit Fee]]</f>
        <v>0</v>
      </c>
      <c r="L925" s="5" t="str">
        <f>IF(student_data[[#This Row],[Outstanding Fee]]=0,"Paid",IF(student_data[[#This Row],[Deposit Fee]]=0,"Unpaid","Partially Paid"))</f>
        <v>Paid</v>
      </c>
      <c r="M925" s="5" t="s">
        <v>50</v>
      </c>
      <c r="N925"/>
      <c r="O925"/>
      <c r="P925"/>
      <c r="Q925"/>
      <c r="R925"/>
      <c r="S925"/>
      <c r="T925"/>
      <c r="U925"/>
      <c r="V925"/>
      <c r="W925"/>
    </row>
    <row r="926" spans="1:23" ht="15.4">
      <c r="A926" s="5">
        <v>874</v>
      </c>
      <c r="B926" s="5">
        <v>18874</v>
      </c>
      <c r="C926" s="5" t="s">
        <v>1307</v>
      </c>
      <c r="D926" s="5" t="s">
        <v>944</v>
      </c>
      <c r="E926" s="5" t="s">
        <v>25</v>
      </c>
      <c r="F926" s="5" t="s">
        <v>1362</v>
      </c>
      <c r="G926" s="8">
        <v>45657</v>
      </c>
      <c r="H926" s="8" t="str">
        <f t="shared" si="14"/>
        <v>Dec</v>
      </c>
      <c r="I926" s="5">
        <v>3200</v>
      </c>
      <c r="J926" s="5">
        <v>2600</v>
      </c>
      <c r="K926" s="5">
        <f>student_data[[#This Row],[Total Fee]]-student_data[[#This Row],[Deposit Fee]]</f>
        <v>600</v>
      </c>
      <c r="L926" s="5" t="str">
        <f>IF(student_data[[#This Row],[Outstanding Fee]]=0,"Paid",IF(student_data[[#This Row],[Deposit Fee]]=0,"Unpaid","Partially Paid"))</f>
        <v>Partially Paid</v>
      </c>
      <c r="M926" s="5" t="s">
        <v>75</v>
      </c>
      <c r="N926"/>
      <c r="O926"/>
      <c r="P926"/>
      <c r="Q926"/>
      <c r="R926"/>
      <c r="S926"/>
      <c r="T926"/>
      <c r="U926"/>
      <c r="V926"/>
      <c r="W926"/>
    </row>
    <row r="927" spans="1:23">
      <c r="B927"/>
      <c r="N927"/>
      <c r="O927"/>
      <c r="P927"/>
      <c r="Q927"/>
      <c r="R927"/>
      <c r="S927"/>
      <c r="T927"/>
      <c r="U927"/>
      <c r="V927"/>
    </row>
  </sheetData>
  <sortState xmlns:xlrd2="http://schemas.microsoft.com/office/spreadsheetml/2017/richdata2" ref="A2:M926">
    <sortCondition ref="M1"/>
  </sortState>
  <conditionalFormatting sqref="B927">
    <cfRule type="duplicateValues" dxfId="8" priority="62"/>
  </conditionalFormatting>
  <conditionalFormatting sqref="B928:B1048576 B1:B926">
    <cfRule type="duplicateValues" dxfId="7" priority="60"/>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8C5F3-6463-5C42-81CD-09988292E955}">
  <dimension ref="A3:N35"/>
  <sheetViews>
    <sheetView zoomScale="80" zoomScaleNormal="80" workbookViewId="0">
      <selection activeCell="L31" sqref="L31"/>
    </sheetView>
  </sheetViews>
  <sheetFormatPr defaultColWidth="10.6640625" defaultRowHeight="14.25"/>
  <cols>
    <col min="1" max="1" width="12.3984375" bestFit="1" customWidth="1"/>
    <col min="2" max="2" width="14.59765625" bestFit="1" customWidth="1"/>
    <col min="3" max="4" width="6.1328125" bestFit="1" customWidth="1"/>
    <col min="5" max="5" width="14.86328125" bestFit="1" customWidth="1"/>
    <col min="6" max="6" width="16.46484375" bestFit="1" customWidth="1"/>
    <col min="7" max="7" width="13.6640625" bestFit="1" customWidth="1"/>
    <col min="8" max="10" width="6.1328125" bestFit="1" customWidth="1"/>
    <col min="11" max="11" width="15.265625" bestFit="1" customWidth="1"/>
    <col min="12" max="12" width="15" bestFit="1" customWidth="1"/>
    <col min="13" max="13" width="4.796875" bestFit="1" customWidth="1"/>
    <col min="14" max="14" width="10.19921875" bestFit="1" customWidth="1"/>
    <col min="15" max="926" width="6.1328125" bestFit="1" customWidth="1"/>
    <col min="927" max="927" width="10" bestFit="1" customWidth="1"/>
  </cols>
  <sheetData>
    <row r="3" spans="1:14">
      <c r="A3" s="9" t="s">
        <v>3</v>
      </c>
      <c r="B3" t="s">
        <v>1392</v>
      </c>
      <c r="E3" s="9" t="s">
        <v>1397</v>
      </c>
    </row>
    <row r="4" spans="1:14">
      <c r="A4" t="s">
        <v>1364</v>
      </c>
      <c r="B4" s="28">
        <v>9</v>
      </c>
      <c r="E4" t="s">
        <v>1385</v>
      </c>
      <c r="F4" s="27">
        <v>446250</v>
      </c>
    </row>
    <row r="5" spans="1:14">
      <c r="A5" t="s">
        <v>1365</v>
      </c>
      <c r="B5" s="28">
        <v>76</v>
      </c>
      <c r="E5" t="s">
        <v>1384</v>
      </c>
      <c r="F5" s="27">
        <v>4720550</v>
      </c>
      <c r="K5" s="9" t="s">
        <v>1391</v>
      </c>
      <c r="L5" s="9" t="s">
        <v>1370</v>
      </c>
    </row>
    <row r="6" spans="1:14">
      <c r="A6" t="s">
        <v>1362</v>
      </c>
      <c r="B6" s="28">
        <v>122</v>
      </c>
      <c r="E6" t="s">
        <v>1383</v>
      </c>
      <c r="F6" s="27">
        <v>5166800</v>
      </c>
      <c r="K6" s="9" t="s">
        <v>1368</v>
      </c>
      <c r="L6" t="s">
        <v>25</v>
      </c>
      <c r="M6" t="s">
        <v>9</v>
      </c>
      <c r="N6" t="s">
        <v>1369</v>
      </c>
    </row>
    <row r="7" spans="1:14">
      <c r="A7" t="s">
        <v>1361</v>
      </c>
      <c r="B7" s="28">
        <v>148</v>
      </c>
      <c r="K7" s="3" t="s">
        <v>1360</v>
      </c>
      <c r="L7" s="28">
        <v>59</v>
      </c>
      <c r="M7" s="28">
        <v>101</v>
      </c>
      <c r="N7" s="28">
        <v>160</v>
      </c>
    </row>
    <row r="8" spans="1:14">
      <c r="A8" t="s">
        <v>1360</v>
      </c>
      <c r="B8" s="28">
        <v>160</v>
      </c>
      <c r="E8" s="9" t="s">
        <v>1368</v>
      </c>
      <c r="F8" t="s">
        <v>1388</v>
      </c>
      <c r="K8" s="3" t="s">
        <v>1361</v>
      </c>
      <c r="L8" s="28">
        <v>51</v>
      </c>
      <c r="M8" s="28">
        <v>97</v>
      </c>
      <c r="N8" s="28">
        <v>148</v>
      </c>
    </row>
    <row r="9" spans="1:14">
      <c r="A9" t="s">
        <v>1363</v>
      </c>
      <c r="B9" s="28">
        <v>410</v>
      </c>
      <c r="E9" s="3" t="s">
        <v>1386</v>
      </c>
      <c r="F9" s="28">
        <v>430</v>
      </c>
      <c r="K9" s="3" t="s">
        <v>1363</v>
      </c>
      <c r="L9" s="28">
        <v>157</v>
      </c>
      <c r="M9" s="28">
        <v>253</v>
      </c>
      <c r="N9" s="28">
        <v>410</v>
      </c>
    </row>
    <row r="10" spans="1:14">
      <c r="A10" t="s">
        <v>1396</v>
      </c>
      <c r="B10" s="28">
        <v>925</v>
      </c>
      <c r="E10" s="3" t="s">
        <v>1387</v>
      </c>
      <c r="F10" s="28">
        <v>495</v>
      </c>
      <c r="K10" s="3" t="s">
        <v>1365</v>
      </c>
      <c r="L10" s="28">
        <v>30</v>
      </c>
      <c r="M10" s="28">
        <v>46</v>
      </c>
      <c r="N10" s="28">
        <v>76</v>
      </c>
    </row>
    <row r="11" spans="1:14">
      <c r="B11" s="10"/>
      <c r="E11" s="3" t="s">
        <v>1369</v>
      </c>
      <c r="F11" s="28">
        <v>925</v>
      </c>
      <c r="K11" s="3" t="s">
        <v>1362</v>
      </c>
      <c r="L11" s="28">
        <v>44</v>
      </c>
      <c r="M11" s="28">
        <v>78</v>
      </c>
      <c r="N11" s="28">
        <v>122</v>
      </c>
    </row>
    <row r="12" spans="1:14">
      <c r="B12" s="10"/>
      <c r="K12" s="3" t="s">
        <v>1364</v>
      </c>
      <c r="L12" s="28">
        <v>4</v>
      </c>
      <c r="M12" s="28">
        <v>5</v>
      </c>
      <c r="N12" s="28">
        <v>9</v>
      </c>
    </row>
    <row r="13" spans="1:14">
      <c r="K13" s="3" t="s">
        <v>1369</v>
      </c>
      <c r="L13" s="28">
        <v>345</v>
      </c>
      <c r="M13" s="28">
        <v>580</v>
      </c>
      <c r="N13" s="28">
        <v>925</v>
      </c>
    </row>
    <row r="15" spans="1:14">
      <c r="A15" s="9" t="s">
        <v>1368</v>
      </c>
      <c r="B15" t="s">
        <v>1393</v>
      </c>
      <c r="E15" s="9" t="s">
        <v>1368</v>
      </c>
      <c r="F15" t="s">
        <v>1390</v>
      </c>
    </row>
    <row r="16" spans="1:14">
      <c r="A16" s="3" t="s">
        <v>25</v>
      </c>
      <c r="B16" s="28">
        <v>345</v>
      </c>
      <c r="E16" s="3" t="s">
        <v>35</v>
      </c>
      <c r="F16" s="28">
        <v>11</v>
      </c>
    </row>
    <row r="17" spans="1:6">
      <c r="A17" s="3" t="s">
        <v>9</v>
      </c>
      <c r="B17" s="28">
        <v>580</v>
      </c>
      <c r="E17" s="3" t="s">
        <v>66</v>
      </c>
      <c r="F17" s="28">
        <v>30</v>
      </c>
    </row>
    <row r="18" spans="1:6">
      <c r="A18" s="3" t="s">
        <v>1369</v>
      </c>
      <c r="B18" s="28">
        <v>925</v>
      </c>
      <c r="E18" s="3" t="s">
        <v>32</v>
      </c>
      <c r="F18" s="28">
        <v>31</v>
      </c>
    </row>
    <row r="19" spans="1:6">
      <c r="E19" s="3" t="s">
        <v>22</v>
      </c>
      <c r="F19" s="28">
        <v>32</v>
      </c>
    </row>
    <row r="20" spans="1:6">
      <c r="E20" s="3" t="s">
        <v>53</v>
      </c>
      <c r="F20" s="28">
        <v>33</v>
      </c>
    </row>
    <row r="21" spans="1:6">
      <c r="E21" s="3" t="s">
        <v>50</v>
      </c>
      <c r="F21" s="28">
        <v>33</v>
      </c>
    </row>
    <row r="22" spans="1:6">
      <c r="A22" s="9" t="s">
        <v>1368</v>
      </c>
      <c r="B22" t="s">
        <v>1391</v>
      </c>
      <c r="E22" s="3" t="s">
        <v>38</v>
      </c>
      <c r="F22" s="28">
        <v>39</v>
      </c>
    </row>
    <row r="23" spans="1:6">
      <c r="A23" s="3" t="s">
        <v>1371</v>
      </c>
      <c r="B23" s="28">
        <v>85</v>
      </c>
      <c r="E23" s="3" t="s">
        <v>26</v>
      </c>
      <c r="F23" s="28">
        <v>42</v>
      </c>
    </row>
    <row r="24" spans="1:6">
      <c r="A24" s="3" t="s">
        <v>1372</v>
      </c>
      <c r="B24" s="28">
        <v>71</v>
      </c>
      <c r="E24" s="3" t="s">
        <v>13</v>
      </c>
      <c r="F24" s="28">
        <v>50</v>
      </c>
    </row>
    <row r="25" spans="1:6">
      <c r="A25" s="3" t="s">
        <v>1373</v>
      </c>
      <c r="B25" s="28">
        <v>45</v>
      </c>
      <c r="E25" s="3" t="s">
        <v>78</v>
      </c>
      <c r="F25" s="28">
        <v>50</v>
      </c>
    </row>
    <row r="26" spans="1:6">
      <c r="A26" s="3" t="s">
        <v>1374</v>
      </c>
      <c r="B26" s="28">
        <v>61</v>
      </c>
      <c r="E26" s="3" t="s">
        <v>10</v>
      </c>
      <c r="F26" s="28">
        <v>50</v>
      </c>
    </row>
    <row r="27" spans="1:6">
      <c r="A27" s="3" t="s">
        <v>1375</v>
      </c>
      <c r="B27" s="28">
        <v>81</v>
      </c>
      <c r="E27" s="3" t="s">
        <v>16</v>
      </c>
      <c r="F27" s="28">
        <v>61</v>
      </c>
    </row>
    <row r="28" spans="1:6">
      <c r="A28" s="3" t="s">
        <v>1376</v>
      </c>
      <c r="B28" s="28">
        <v>75</v>
      </c>
      <c r="E28" s="3" t="s">
        <v>29</v>
      </c>
      <c r="F28" s="28">
        <v>63</v>
      </c>
    </row>
    <row r="29" spans="1:6">
      <c r="A29" s="3" t="s">
        <v>1377</v>
      </c>
      <c r="B29" s="28">
        <v>105</v>
      </c>
      <c r="E29" s="3" t="s">
        <v>89</v>
      </c>
      <c r="F29" s="28">
        <v>70</v>
      </c>
    </row>
    <row r="30" spans="1:6">
      <c r="A30" s="3" t="s">
        <v>1378</v>
      </c>
      <c r="B30" s="28">
        <v>85</v>
      </c>
      <c r="E30" s="3" t="s">
        <v>19</v>
      </c>
      <c r="F30" s="28">
        <v>99</v>
      </c>
    </row>
    <row r="31" spans="1:6">
      <c r="A31" s="3" t="s">
        <v>1379</v>
      </c>
      <c r="B31" s="28">
        <v>75</v>
      </c>
      <c r="E31" s="3" t="s">
        <v>47</v>
      </c>
      <c r="F31" s="28">
        <v>112</v>
      </c>
    </row>
    <row r="32" spans="1:6">
      <c r="A32" s="3" t="s">
        <v>1380</v>
      </c>
      <c r="B32" s="28">
        <v>80</v>
      </c>
      <c r="E32" s="3" t="s">
        <v>75</v>
      </c>
      <c r="F32" s="28">
        <v>119</v>
      </c>
    </row>
    <row r="33" spans="1:6">
      <c r="A33" s="3" t="s">
        <v>1381</v>
      </c>
      <c r="B33" s="28">
        <v>78</v>
      </c>
      <c r="E33" s="3" t="s">
        <v>1369</v>
      </c>
      <c r="F33" s="28">
        <v>925</v>
      </c>
    </row>
    <row r="34" spans="1:6">
      <c r="A34" s="3" t="s">
        <v>1382</v>
      </c>
      <c r="B34" s="28">
        <v>84</v>
      </c>
    </row>
    <row r="35" spans="1:6">
      <c r="A35" s="3" t="s">
        <v>1369</v>
      </c>
      <c r="B35" s="28">
        <v>925</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UPCISS</dc:creator>
  <cp:keywords/>
  <dc:description/>
  <cp:lastModifiedBy>Udit</cp:lastModifiedBy>
  <cp:revision/>
  <dcterms:created xsi:type="dcterms:W3CDTF">2020-02-03T05:47:00Z</dcterms:created>
  <dcterms:modified xsi:type="dcterms:W3CDTF">2026-10-08T09:56:11Z</dcterms:modified>
  <cp:category/>
  <cp:contentStatus/>
</cp:coreProperties>
</file>